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a8c60ef98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c06a193d0aac4028"/>
    <x:sheet xmlns:r="http://schemas.openxmlformats.org/officeDocument/2006/relationships" name="經費明細" sheetId="2" r:id="R250ad22a31084b27"/>
    <x:sheet xmlns:r="http://schemas.openxmlformats.org/officeDocument/2006/relationships" name="KPI矩陣" sheetId="3" r:id="R178743a8864f4cbd"/>
    <x:sheet xmlns:r="http://schemas.openxmlformats.org/officeDocument/2006/relationships" name="成本依據" sheetId="4" r:id="Rf51955e6a3664a09"/>
    <x:sheet xmlns:r="http://schemas.openxmlformats.org/officeDocument/2006/relationships" name="年度查核點" sheetId="5" r:id="Re5a36958e3a1443b"/>
    <x:sheet xmlns:r="http://schemas.openxmlformats.org/officeDocument/2006/relationships" name="審查預答" sheetId="6" r:id="Ra643227691364902"/>
    <x:sheet xmlns:r="http://schemas.openxmlformats.org/officeDocument/2006/relationships" name="不列入項目" sheetId="7" r:id="R5c9df96174b3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NT$&quot;#,##0"/>
    <x:numFmt numFmtId="201" formatCode="0.0%"/>
  </x:numFmts>
  <x:fonts count="5">
    <x:font>
      <x:sz val="11"/>
      <x:name val="Carlito"/>
    </x:font>
    <x:font>
      <x:b/>
      <x:sz val="16"/>
      <x:name val="Carlito"/>
    </x:font>
    <x:font>
      <x:sz val="11"/>
      <x:color rgb="FF444444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4" fillId="3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ad86fa3bf4afb" /><Relationship Type="http://schemas.openxmlformats.org/officeDocument/2006/relationships/theme" Target="/xl/theme/theme1.xml" Id="Ra1ab20301cbe4718" /><Relationship Type="http://schemas.openxmlformats.org/officeDocument/2006/relationships/sharedStrings" Target="/xl/sharedStrings.xml" Id="R219a7e6e527b4078" /><Relationship Type="http://schemas.openxmlformats.org/officeDocument/2006/relationships/worksheet" Target="/xl/worksheets/sheet1.xml" Id="Rc06a193d0aac4028" /><Relationship Type="http://schemas.openxmlformats.org/officeDocument/2006/relationships/worksheet" Target="/xl/worksheets/sheet2.xml" Id="R250ad22a31084b27" /><Relationship Type="http://schemas.openxmlformats.org/officeDocument/2006/relationships/worksheet" Target="/xl/worksheets/sheet3.xml" Id="R178743a8864f4cbd" /><Relationship Type="http://schemas.openxmlformats.org/officeDocument/2006/relationships/worksheet" Target="/xl/worksheets/sheet4.xml" Id="Rf51955e6a3664a09" /><Relationship Type="http://schemas.openxmlformats.org/officeDocument/2006/relationships/worksheet" Target="/xl/worksheets/sheet5.xml" Id="Re5a36958e3a1443b" /><Relationship Type="http://schemas.openxmlformats.org/officeDocument/2006/relationships/worksheet" Target="/xl/worksheets/sheet6.xml" Id="Ra643227691364902" /><Relationship Type="http://schemas.openxmlformats.org/officeDocument/2006/relationships/worksheet" Target="/xl/worksheets/sheet7.xml" Id="R5c9df96174b34b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7369caa8b541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三年預算配置（依工作包）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第一年</c:v>
          </c:tx>
          <c:cat>
            <c:strRef>
              <c:f>'總覽'!$E$5:$E$11</c:f>
              <c:strCache>
                <c:ptCount val="0"/>
              </c:strCache>
            </c:strRef>
          </c:cat>
          <c:val>
            <c:numRef>
              <c:f>'總覽'!$F$5:$F$11</c:f>
              <c:numCache>
                <c:formatCode>"NT$"#,##0</c:formatCode>
                <c:ptCount val="0"/>
              </c:numCache>
            </c:numRef>
          </c:val>
        </c:ser>
        <c:ser>
          <c:idx val="1"/>
          <c:order val="1"/>
          <c:tx>
            <c:v>第二年</c:v>
          </c:tx>
          <c:cat>
            <c:strRef>
              <c:f>'總覽'!$E$5:$E$11</c:f>
              <c:strCache>
                <c:ptCount val="0"/>
              </c:strCache>
            </c:strRef>
          </c:cat>
          <c:val>
            <c:numRef>
              <c:f>'總覽'!$G$5:$G$11</c:f>
              <c:numCache>
                <c:formatCode>"NT$"#,##0</c:formatCode>
                <c:ptCount val="0"/>
              </c:numCache>
            </c:numRef>
          </c:val>
        </c:ser>
        <c:ser>
          <c:idx val="2"/>
          <c:order val="2"/>
          <c:tx>
            <c:v>第三年</c:v>
          </c:tx>
          <c:cat>
            <c:strRef>
              <c:f>'總覽'!$E$5:$E$11</c:f>
              <c:strCache>
                <c:ptCount val="0"/>
              </c:strCache>
            </c:strRef>
          </c:cat>
          <c:val>
            <c:numRef>
              <c:f>'總覽'!$H$5:$H$11</c:f>
              <c:numCache>
                <c:formatCode>"NT$"#,##0</c:formatCode>
                <c:ptCount val="0"/>
              </c:numCache>
            </c:numRef>
          </c:val>
        </c:ser>
        <c:ser>
          <c:idx val="3"/>
          <c:order val="3"/>
          <c:tx>
            <c:v>三年合計</c:v>
          </c:tx>
          <c:cat>
            <c:strRef>
              <c:f>'總覽'!$E$5:$E$11</c:f>
              <c:strCache>
                <c:ptCount val="0"/>
              </c:strCache>
            </c:strRef>
          </c:cat>
          <c:val>
            <c:numRef>
              <c:f>'總覽'!$I$5:$I$11</c:f>
              <c:numCache>
                <c:formatCode>"NT$"#,##0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7369caa8b541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DetailTable" displayName="BudgetDetailTable" ref="A1:R25" headerRowCount="1">
  <x:tableColumns count="18">
    <x:tableColumn id="1" name="ID"/>
    <x:tableColumn id="2" name="工作包"/>
    <x:tableColumn id="3" name="官方科目"/>
    <x:tableColumn id="4" name="細項"/>
    <x:tableColumn id="5" name="單價(NT$)"/>
    <x:tableColumn id="6" name="單位"/>
    <x:tableColumn id="7" name="Y1數量"/>
    <x:tableColumn id="8" name="Y1金額"/>
    <x:tableColumn id="9" name="Y2數量"/>
    <x:tableColumn id="10" name="Y2金額"/>
    <x:tableColumn id="11" name="Y3數量"/>
    <x:tableColumn id="12" name="Y3金額"/>
    <x:tableColumn id="13" name="三年合計"/>
    <x:tableColumn id="14" name="KPI/交付物"/>
    <x:tableColumn id="15" name="Owner"/>
    <x:tableColumn id="16" name="成本/法規依據"/>
    <x:tableColumn id="17" name="排除/採購註記"/>
    <x:tableColumn id="18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KPITable" displayName="KPITable" ref="A1:J10" headerRowCount="1">
  <x:tableColumns count="10">
    <x:tableColumn id="1" name="KPI"/>
    <x:tableColumn id="2" name="類型"/>
    <x:tableColumn id="3" name="定義"/>
    <x:tableColumn id="4" name="現況"/>
    <x:tableColumn id="5" name="Y1查核"/>
    <x:tableColumn id="6" name="Y2查核"/>
    <x:tableColumn id="7" name="Y3查核"/>
    <x:tableColumn id="8" name="資料來源"/>
    <x:tableColumn id="9" name="對應工作包"/>
    <x:tableColumn id="10" name="風險/修正機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8edeb00b8d40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137bd55645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8a1e2b25494d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.380001068115234" hidden="0" customWidth="1"/>
    <x:col min="3" max="3" width="32" hidden="0" customWidth="1"/>
    <x:col min="5" max="5" width="42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</x:cols>
  <x:sheetData>
    <x:row r="1" ht="36" customHeight="1">
      <x:c r="A1" s="3" t="str">
        <x:v>泌尿科門診前問診與醫師覆核摘要支持系統｜KPI 與經費規劃總覽</x:v>
      </x:c>
    </x:row>
    <x:row r="2" ht="36" customHeight="1">
      <x:c r="A2" s="8" t="str">
        <x:v>版本：2026-06-19；依 package 內容、健康台灣深耕計畫規範與台灣成本基準重新整理。正式送件前需由主提單位補齊 PI、醫事機構代碼、配合款、採購與核銷科目。</x:v>
      </x:c>
    </x:row>
    <x:row r="3" ht="36" customHeight="1"/>
    <x:row r="4" ht="36" customHeight="1">
      <x:c r="A4" s="16" t="str">
        <x:v>項目</x:v>
      </x:c>
      <x:c r="B4" s="16" t="str">
        <x:v>建議值</x:v>
      </x:c>
      <x:c r="C4" s="16" t="str">
        <x:v>判斷</x:v>
      </x:c>
      <x:c r="E4" s="16" t="str">
        <x:v>工作包</x:v>
      </x:c>
      <x:c r="F4" s="16" t="str">
        <x:v>第一年</x:v>
      </x:c>
      <x:c r="G4" s="16" t="str">
        <x:v>第二年</x:v>
      </x:c>
      <x:c r="H4" s="16" t="str">
        <x:v>第三年</x:v>
      </x:c>
      <x:c r="I4" s="16" t="str">
        <x:v>三年合計</x:v>
      </x:c>
    </x:row>
    <x:row r="5" ht="36" customHeight="1">
      <x:c r="A5" s="26" t="str">
        <x:v>計畫主軸</x:v>
      </x:c>
      <x:c r="B5" s="26" t="str">
        <x:v>範疇三：導入智慧科技醫療；範疇一：優化醫療工作條件</x:v>
      </x:c>
      <x:c r="C5" s="26" t="str">
        <x:v>與政策範疇相符</x:v>
      </x:c>
      <x:c r="E5" s="26" t="str">
        <x:v>W1 Proposal coordination / PM / RA / KPI evidence</x:v>
      </x:c>
      <x:c r="F5" s="27" t="n">
        <x:v>900000</x:v>
      </x:c>
      <x:c r="G5" s="27" t="n">
        <x:v>900000</x:v>
      </x:c>
      <x:c r="H5" s="27" t="n">
        <x:v>700000</x:v>
      </x:c>
      <x:c r="I5" s="27" t="n">
        <x:v>2500000</x:v>
      </x:c>
    </x:row>
    <x:row r="6" ht="36" customHeight="1">
      <x:c r="A6" s="26" t="str">
        <x:v>總經費上限</x:v>
      </x:c>
      <x:c r="B6" s="27" t="n">
        <x:v>10000000</x:v>
      </x:c>
      <x:c r="C6" s="26" t="str">
        <x:v>三年 AI-only 工作額度；不含 CRM/HIS/EMR 正式整合</x:v>
      </x:c>
      <x:c r="E6" s="26" t="str">
        <x:v>W2 Clinical workflow review / reviewer sessions</x:v>
      </x:c>
      <x:c r="F6" s="27" t="n">
        <x:v>450000</x:v>
      </x:c>
      <x:c r="G6" s="27" t="n">
        <x:v>450000</x:v>
      </x:c>
      <x:c r="H6" s="27" t="n">
        <x:v>300000</x:v>
      </x:c>
      <x:c r="I6" s="27" t="n">
        <x:v>1200000</x:v>
      </x:c>
    </x:row>
    <x:row r="7" ht="36" customHeight="1">
      <x:c r="A7" s="26" t="str">
        <x:v>第一年</x:v>
      </x:c>
      <x:c r="B7" s="27" t="n">
        <x:v>4250000</x:v>
      </x:c>
      <x:c r="C7" s="26" t="str">
        <x:v>設計、治理、schema、prototype、synthetic evidence</x:v>
      </x:c>
      <x:c r="E7" s="26" t="str">
        <x:v>W3 Question governance / intake / summary schema</x:v>
      </x:c>
      <x:c r="F7" s="27" t="n">
        <x:v>1000000</x:v>
      </x:c>
      <x:c r="G7" s="27" t="n">
        <x:v>600000</x:v>
      </x:c>
      <x:c r="H7" s="27" t="n">
        <x:v>300000</x:v>
      </x:c>
      <x:c r="I7" s="27" t="n">
        <x:v>1900000</x:v>
      </x:c>
    </x:row>
    <x:row r="8" ht="36" customHeight="1">
      <x:c r="A8" s="26" t="str">
        <x:v>第二年</x:v>
      </x:c>
      <x:c r="B8" s="27" t="n">
        <x:v>3550000</x:v>
      </x:c>
      <x:c r="C8" s="26" t="str">
        <x:v>核准後 limited workflow evidence 與迭代</x:v>
      </x:c>
      <x:c r="E8" s="26" t="str">
        <x:v>W4 AI prototype / summary generation / review evidence</x:v>
      </x:c>
      <x:c r="F8" s="27" t="n">
        <x:v>900000</x:v>
      </x:c>
      <x:c r="G8" s="27" t="n">
        <x:v>700000</x:v>
      </x:c>
      <x:c r="H8" s="27" t="n">
        <x:v>300000</x:v>
      </x:c>
      <x:c r="I8" s="27" t="n">
        <x:v>1900000</x:v>
      </x:c>
    </x:row>
    <x:row r="9" ht="36" customHeight="1">
      <x:c r="A9" s="26" t="str">
        <x:v>第三年</x:v>
      </x:c>
      <x:c r="B9" s="27" t="n">
        <x:v>2200000</x:v>
      </x:c>
      <x:c r="C9" s="26" t="str">
        <x:v>維運交接、KPI evidence、治理 brief</x:v>
      </x:c>
      <x:c r="E9" s="26" t="str">
        <x:v>W5 AI / data / security / privacy governance</x:v>
      </x:c>
      <x:c r="F9" s="27" t="n">
        <x:v>400000</x:v>
      </x:c>
      <x:c r="G9" s="27" t="n">
        <x:v>350000</x:v>
      </x:c>
      <x:c r="H9" s="27" t="n">
        <x:v>250000</x:v>
      </x:c>
      <x:c r="I9" s="27" t="n">
        <x:v>1000000</x:v>
      </x:c>
    </x:row>
    <x:row r="10" ht="36" customHeight="1">
      <x:c r="A10" s="26" t="str">
        <x:v>設備費</x:v>
      </x:c>
      <x:c r="B10" s="27" t="n">
        <x:f>'經費明細'!M24</x:f>
        <x:v>230000</x:v>
      </x:c>
      <x:c r="C10" s="26" t="str">
        <x:v>低於 30% 資本門上限</x:v>
      </x:c>
      <x:c r="E10" s="26" t="str">
        <x:v>W6 Evaluation / baseline / QI / IRB / limited pilot evidence</x:v>
      </x:c>
      <x:c r="F10" s="27" t="n">
        <x:v>250000</x:v>
      </x:c>
      <x:c r="G10" s="27" t="n">
        <x:v>400000</x:v>
      </x:c>
      <x:c r="H10" s="27" t="n">
        <x:v>350000</x:v>
      </x:c>
      <x:c r="I10" s="27" t="n">
        <x:v>1000000</x:v>
      </x:c>
    </x:row>
    <x:row r="11" ht="36" customHeight="1">
      <x:c r="A11" s="26" t="str">
        <x:v>設備費占比</x:v>
      </x:c>
      <x:c r="B11" s="28" t="n">
        <x:f>B10/B6</x:f>
        <x:v>0.023</x:v>
      </x:c>
      <x:c r="C11" s="26" t="str">
        <x:v>公式檢查</x:v>
      </x:c>
      <x:c r="E11" s="26" t="str">
        <x:v>W7 Optional ASR / intake station readiness</x:v>
      </x:c>
      <x:c r="F11" s="27" t="n">
        <x:v>350000</x:v>
      </x:c>
      <x:c r="G11" s="27" t="n">
        <x:v>150000</x:v>
      </x:c>
      <x:c r="H11" s="27" t="n">
        <x:v>0</x:v>
      </x:c>
      <x:c r="I11" s="27" t="n">
        <x:v>500000</x:v>
      </x:c>
    </x:row>
    <x:row r="12" ht="36" customHeight="1">
      <x:c r="A12" s="26" t="str">
        <x:v>KPI 對預算映射率</x:v>
      </x:c>
      <x:c r="B12" s="26" t="str">
        <x:v>100%</x:v>
      </x:c>
      <x:c r="C12" s="26" t="str">
        <x:v>每項工作包皆映射 KPI / owner / evidence</x:v>
      </x:c>
      <x:c r="E12" s="36" t="str">
        <x:v>總計</x:v>
      </x:c>
      <x:c r="F12" s="42" t="n">
        <x:v>4250000</x:v>
      </x:c>
      <x:c r="G12" s="42" t="n">
        <x:v>3550000</x:v>
      </x:c>
      <x:c r="H12" s="42" t="n">
        <x:v>2200000</x:v>
      </x:c>
      <x:c r="I12" s="42" t="n">
        <x:v>10000000</x:v>
      </x:c>
    </x:row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8c8edeb00b8d408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6" hidden="0" customWidth="1"/>
    <x:col min="4" max="4" width="38" hidden="0" customWidth="1"/>
    <x:col min="5" max="5" width="12" hidden="0" customWidth="1"/>
    <x:col min="6" max="6" width="14" hidden="0" customWidth="1"/>
    <x:col min="7" max="7" width="10" hidden="0" customWidth="1"/>
    <x:col min="8" max="8" width="12" hidden="0" customWidth="1"/>
    <x:col min="9" max="9" width="10" hidden="0" customWidth="1"/>
    <x:col min="10" max="10" width="12" hidden="0" customWidth="1"/>
    <x:col min="11" max="11" width="10" hidden="0" customWidth="1"/>
    <x:col min="12" max="12" width="12" hidden="0" customWidth="1"/>
    <x:col min="13" max="13" width="14" hidden="0" customWidth="1"/>
    <x:col min="14" max="14" width="32" hidden="0" customWidth="1"/>
    <x:col min="15" max="15" width="22" hidden="0" customWidth="1"/>
    <x:col min="16" max="16" width="48" hidden="0" customWidth="1"/>
    <x:col min="17" max="17" width="42" hidden="0" customWidth="1"/>
    <x:col min="18" max="18" width="36" hidden="0" customWidth="1"/>
  </x:cols>
  <x:sheetData>
    <x:row r="1" ht="36" customHeight="1">
      <x:c r="A1" s="16" t="str">
        <x:v>ID</x:v>
      </x:c>
      <x:c r="B1" s="16" t="str">
        <x:v>工作包</x:v>
      </x:c>
      <x:c r="C1" s="16" t="str">
        <x:v>官方科目</x:v>
      </x:c>
      <x:c r="D1" s="16" t="str">
        <x:v>細項</x:v>
      </x:c>
      <x:c r="E1" s="16" t="str">
        <x:v>單價(NT$)</x:v>
      </x:c>
      <x:c r="F1" s="16" t="str">
        <x:v>單位</x:v>
      </x:c>
      <x:c r="G1" s="16" t="str">
        <x:v>Y1數量</x:v>
      </x:c>
      <x:c r="H1" s="16" t="str">
        <x:v>Y1金額</x:v>
      </x:c>
      <x:c r="I1" s="16" t="str">
        <x:v>Y2數量</x:v>
      </x:c>
      <x:c r="J1" s="16" t="str">
        <x:v>Y2金額</x:v>
      </x:c>
      <x:c r="K1" s="16" t="str">
        <x:v>Y3數量</x:v>
      </x:c>
      <x:c r="L1" s="16" t="str">
        <x:v>Y3金額</x:v>
      </x:c>
      <x:c r="M1" s="16" t="str">
        <x:v>三年合計</x:v>
      </x:c>
      <x:c r="N1" s="16" t="str">
        <x:v>KPI/交付物</x:v>
      </x:c>
      <x:c r="O1" s="16" t="str">
        <x:v>Owner</x:v>
      </x:c>
      <x:c r="P1" s="16" t="str">
        <x:v>成本/法規依據</x:v>
      </x:c>
      <x:c r="Q1" s="16" t="str">
        <x:v>排除/採購註記</x:v>
      </x:c>
      <x:c r="R1" s="16" t="str">
        <x:v>Source_URL</x:v>
      </x:c>
    </x:row>
    <x:row r="2" ht="36" customHeight="1">
      <x:c r="A2" s="26" t="str">
        <x:v>W1-01</x:v>
      </x:c>
      <x:c r="B2" s="26" t="str">
        <x:v>W1 Proposal coordination / PM / RA / KPI evidence</x:v>
      </x:c>
      <x:c r="C2" s="26" t="str">
        <x:v>人事費—行政或研究人力費</x:v>
      </x:c>
      <x:c r="D2" s="26" t="str">
        <x:v>PM/RA 載入成本（含計畫協調、會議、版本控管、年度查核）</x:v>
      </x:c>
      <x:c r="E2" s="27" t="n">
        <x:v>60000</x:v>
      </x:c>
      <x:c r="F2" s="26" t="str">
        <x:v>人月</x:v>
      </x:c>
      <x:c r="G2" s="26" t="n">
        <x:v>9</x:v>
      </x:c>
      <x:c r="H2" s="27" t="n">
        <x:f>E2*G2</x:f>
        <x:v>540000</x:v>
      </x:c>
      <x:c r="I2" s="26" t="n">
        <x:v>9</x:v>
      </x:c>
      <x:c r="J2" s="27" t="n">
        <x:f>E2*I2</x:f>
        <x:v>540000</x:v>
      </x:c>
      <x:c r="K2" s="26" t="n">
        <x:v>6</x:v>
      </x:c>
      <x:c r="L2" s="27" t="n">
        <x:f>E2*K2</x:f>
        <x:v>360000</x:v>
      </x:c>
      <x:c r="M2" s="27" t="n">
        <x:f>SUM(H2,J2,L2)</x:f>
        <x:v>1440000</x:v>
      </x:c>
      <x:c r="N2" s="26" t="str">
        <x:v>計畫書、KPI workbook、年度 evidence package</x:v>
      </x:c>
      <x:c r="O2" s="26" t="str">
        <x:v>主提案 PM / NYCU PM</x:v>
      </x:c>
      <x:c r="P2" s="26" t="str">
        <x:v>以碩士以上研究人力最低 41,500/月為下限；加計年終、勞健保、勞退與專案管理負荷後，以 60,000/人月估算，正式依機構標準核實。</x:v>
      </x:c>
      <x:c r="Q2" s="26" t="str">
        <x:v>不得與其他計畫重複支薪；正式支用需列工作內容與比例。</x:v>
      </x:c>
      <x:c r="R2" s="26" t="str">
        <x:v>https://law.nstc.gov.tw/LawContent.aspx?id=FL028686</x:v>
      </x:c>
    </x:row>
    <x:row r="3" ht="36" customHeight="1">
      <x:c r="A3" s="26" t="str">
        <x:v>W1-02</x:v>
      </x:c>
      <x:c r="B3" s="26" t="str">
        <x:v>W1 Proposal coordination / PM / RA / KPI evidence</x:v>
      </x:c>
      <x:c r="C3" s="26" t="str">
        <x:v>人事費—行政或研究人力費</x:v>
      </x:c>
      <x:c r="D3" s="26" t="str">
        <x:v>KPI / evidence data manager / evaluation RA</x:v>
      </x:c>
      <x:c r="E3" s="27" t="n">
        <x:v>45000</x:v>
      </x:c>
      <x:c r="F3" s="26" t="str">
        <x:v>人月</x:v>
      </x:c>
      <x:c r="G3" s="26" t="n">
        <x:v>6</x:v>
      </x:c>
      <x:c r="H3" s="27" t="n">
        <x:f>E3*G3</x:f>
        <x:v>270000</x:v>
      </x:c>
      <x:c r="I3" s="26" t="n">
        <x:v>6</x:v>
      </x:c>
      <x:c r="J3" s="27" t="n">
        <x:f>E3*I3</x:f>
        <x:v>270000</x:v>
      </x:c>
      <x:c r="K3" s="26" t="n">
        <x:v>5</x:v>
      </x:c>
      <x:c r="L3" s="27" t="n">
        <x:f>E3*K3</x:f>
        <x:v>225000</x:v>
      </x:c>
      <x:c r="M3" s="27" t="n">
        <x:f>SUM(H3,J3,L3)</x:f>
        <x:v>765000</x:v>
      </x:c>
      <x:c r="N3" s="26" t="str">
        <x:v>baseline worksheet、scorecard、evidence log</x:v>
      </x:c>
      <x:c r="O3" s="26" t="str">
        <x:v>Evaluation owner</x:v>
      </x:c>
      <x:c r="P3" s="26" t="str">
        <x:v>NSTC 碩士級最低 41,500/月；此列以 45,000/人月作低估且可核實的台灣學研成本。</x:v>
      </x:c>
      <x:c r="Q3" s="26" t="str">
        <x:v>若由現有人力兼任，需確認不得兼領或重複列支。</x:v>
      </x:c>
      <x:c r="R3" s="26" t="str">
        <x:v>https://law.nstc.gov.tw/LawContent.aspx?id=FL028686</x:v>
      </x:c>
    </x:row>
    <x:row r="4" ht="36" customHeight="1">
      <x:c r="A4" s="26" t="str">
        <x:v>W1-03</x:v>
      </x:c>
      <x:c r="B4" s="26" t="str">
        <x:v>W1 Proposal coordination / PM / RA / KPI evidence</x:v>
      </x:c>
      <x:c r="C4" s="26" t="str">
        <x:v>業務費—印刷/資料整理/雜支</x:v>
      </x:c>
      <x:c r="D4" s="26" t="str">
        <x:v>Y1 送審與 review-response 文件包</x:v>
      </x:c>
      <x:c r="E4" s="27" t="n">
        <x:v>90000</x:v>
      </x:c>
      <x:c r="F4" s="26" t="str">
        <x:v>式</x:v>
      </x:c>
      <x:c r="G4" s="26" t="n">
        <x:v>1</x:v>
      </x:c>
      <x:c r="H4" s="27" t="n">
        <x:f>E4*G4</x:f>
        <x:v>90000</x:v>
      </x:c>
      <x:c r="I4" s="26" t="n">
        <x:v>0</x:v>
      </x:c>
      <x:c r="J4" s="27" t="n">
        <x:f>E4*I4</x:f>
        <x:v>0</x:v>
      </x:c>
      <x:c r="K4" s="26" t="n">
        <x:v>0</x:v>
      </x:c>
      <x:c r="L4" s="27" t="n">
        <x:f>E4*K4</x:f>
        <x:v>0</x:v>
      </x:c>
      <x:c r="M4" s="27" t="n">
        <x:f>SUM(H4,J4,L4)</x:f>
        <x:v>90000</x:v>
      </x:c>
      <x:c r="N4" s="26" t="str">
        <x:v>proposal package 完成</x:v>
      </x:c>
      <x:c r="O4" s="26" t="str">
        <x:v>PM</x:v>
      </x:c>
      <x:c r="P4" s="26" t="str">
        <x:v>計畫經費表需詳列細目、單價、數量；文件材料與雜支按核實報支。</x:v>
      </x:c>
      <x:c r="Q4" s="26" t="str">
        <x:v>雜支全案不得逾業務費扣除國外旅費後 5%，且不得超過 100,000。</x:v>
      </x:c>
      <x:c r="R4" s="26" t="str">
        <x:v>https://htsprout.nhri.org.tw/UploadFile/0915-attach1.pdf</x:v>
      </x:c>
    </x:row>
    <x:row r="5" ht="36" customHeight="1">
      <x:c r="A5" s="26" t="str">
        <x:v>W1-04</x:v>
      </x:c>
      <x:c r="B5" s="26" t="str">
        <x:v>W1 Proposal coordination / PM / RA / KPI evidence</x:v>
      </x:c>
      <x:c r="C5" s="26" t="str">
        <x:v>業務費—印刷/資料整理/雜支</x:v>
      </x:c>
      <x:c r="D5" s="26" t="str">
        <x:v>Y2 年度 evidence / 管考文件包</x:v>
      </x:c>
      <x:c r="E5" s="27" t="n">
        <x:v>90000</x:v>
      </x:c>
      <x:c r="F5" s="26" t="str">
        <x:v>式</x:v>
      </x:c>
      <x:c r="G5" s="26" t="n">
        <x:v>0</x:v>
      </x:c>
      <x:c r="H5" s="27" t="n">
        <x:f>E5*G5</x:f>
        <x:v>0</x:v>
      </x:c>
      <x:c r="I5" s="26" t="n">
        <x:v>1</x:v>
      </x:c>
      <x:c r="J5" s="27" t="n">
        <x:f>E5*I5</x:f>
        <x:v>90000</x:v>
      </x:c>
      <x:c r="K5" s="26" t="n">
        <x:v>0</x:v>
      </x:c>
      <x:c r="L5" s="27" t="n">
        <x:f>E5*K5</x:f>
        <x:v>0</x:v>
      </x:c>
      <x:c r="M5" s="27" t="n">
        <x:f>SUM(H5,J5,L5)</x:f>
        <x:v>90000</x:v>
      </x:c>
      <x:c r="N5" s="26" t="str">
        <x:v>annual evidence package</x:v>
      </x:c>
      <x:c r="O5" s="26" t="str">
        <x:v>PM</x:v>
      </x:c>
      <x:c r="P5" s="26" t="str">
        <x:v>同上。</x:v>
      </x:c>
      <x:c r="Q5" s="26" t="str">
        <x:v>同上。</x:v>
      </x:c>
      <x:c r="R5" s="26" t="str">
        <x:v>https://htsprout.nhri.org.tw/UploadFile/0915-attach1.pdf</x:v>
      </x:c>
    </x:row>
    <x:row r="6" ht="36" customHeight="1">
      <x:c r="A6" s="26" t="str">
        <x:v>W1-05</x:v>
      </x:c>
      <x:c r="B6" s="26" t="str">
        <x:v>W1 Proposal coordination / PM / RA / KPI evidence</x:v>
      </x:c>
      <x:c r="C6" s="26" t="str">
        <x:v>業務費—印刷/資料整理/雜支</x:v>
      </x:c>
      <x:c r="D6" s="26" t="str">
        <x:v>Y3 final handoff / maintenance brief 文件包</x:v>
      </x:c>
      <x:c r="E6" s="27" t="n">
        <x:v>115000</x:v>
      </x:c>
      <x:c r="F6" s="26" t="str">
        <x:v>式</x:v>
      </x:c>
      <x:c r="G6" s="26" t="n">
        <x:v>0</x:v>
      </x:c>
      <x:c r="H6" s="27" t="n">
        <x:f>E6*G6</x:f>
        <x:v>0</x:v>
      </x:c>
      <x:c r="I6" s="26" t="n">
        <x:v>0</x:v>
      </x:c>
      <x:c r="J6" s="27" t="n">
        <x:f>E6*I6</x:f>
        <x:v>0</x:v>
      </x:c>
      <x:c r="K6" s="26" t="n">
        <x:v>1</x:v>
      </x:c>
      <x:c r="L6" s="27" t="n">
        <x:f>E6*K6</x:f>
        <x:v>115000</x:v>
      </x:c>
      <x:c r="M6" s="27" t="n">
        <x:f>SUM(H6,J6,L6)</x:f>
        <x:v>115000</x:v>
      </x:c>
      <x:c r="N6" s="26" t="str">
        <x:v>final report、maintenance owner brief</x:v>
      </x:c>
      <x:c r="O6" s="26" t="str">
        <x:v>PM</x:v>
      </x:c>
      <x:c r="P6" s="26" t="str">
        <x:v>同上；Y3 因需交接與最終成果整理，略高於年度包。</x:v>
      </x:c>
      <x:c r="Q6" s="26" t="str">
        <x:v>雜支正式編列時需依上限調整。</x:v>
      </x:c>
      <x:c r="R6" s="26" t="str">
        <x:v>https://htsprout.nhri.org.tw/UploadFile/0915-attach1.pdf</x:v>
      </x:c>
    </x:row>
    <x:row r="7" ht="36" customHeight="1">
      <x:c r="A7" s="26" t="str">
        <x:v>W2-01</x:v>
      </x:c>
      <x:c r="B7" s="26" t="str">
        <x:v>W2 Clinical workflow review / reviewer sessions</x:v>
      </x:c>
      <x:c r="C7" s="26" t="str">
        <x:v>人事費—臨床試驗與研究相關醫療專業與管理人員</x:v>
      </x:c>
      <x:c r="D7" s="26" t="str">
        <x:v>臨床 reviewer protected time + scorecard coding</x:v>
      </x:c>
      <x:c r="E7" s="27" t="n">
        <x:v>12500</x:v>
      </x:c>
      <x:c r="F7" s="26" t="str">
        <x:v>session package</x:v>
      </x:c>
      <x:c r="G7" s="26" t="n">
        <x:v>24</x:v>
      </x:c>
      <x:c r="H7" s="27" t="n">
        <x:f>E7*G7</x:f>
        <x:v>300000</x:v>
      </x:c>
      <x:c r="I7" s="26" t="n">
        <x:v>24</x:v>
      </x:c>
      <x:c r="J7" s="27" t="n">
        <x:f>E7*I7</x:f>
        <x:v>300000</x:v>
      </x:c>
      <x:c r="K7" s="26" t="n">
        <x:v>16</x:v>
      </x:c>
      <x:c r="L7" s="27" t="n">
        <x:f>E7*K7</x:f>
        <x:v>200000</x:v>
      </x:c>
      <x:c r="M7" s="27" t="n">
        <x:f>SUM(H7,J7,L7)</x:f>
        <x:v>800000</x:v>
      </x:c>
      <x:c r="N7" s="26" t="str">
        <x:v>summary read time、clinician usefulness、missing-field visibility</x:v>
      </x:c>
      <x:c r="O7" s="26" t="str">
        <x:v>Clinical owner</x:v>
      </x:c>
      <x:c r="P7" s="26" t="str">
        <x:v>健康台灣標準允許列研究護士、護理師、醫師、統計師、PM 等醫療專業與管理人員薪資；此列不是單純出席費，而是完整工作量包。</x:v>
      </x:c>
      <x:c r="Q7" s="26" t="str">
        <x:v>院內計畫人員不得再領出席費；需以工作職掌或人事比例列支。</x:v>
      </x:c>
      <x:c r="R7" s="26" t="str">
        <x:v>https://htsprout.nhri.org.tw/UploadFile/0415-attach1.pdf</x:v>
      </x:c>
    </x:row>
    <x:row r="8" ht="36" customHeight="1">
      <x:c r="A8" s="26" t="str">
        <x:v>W2-02</x:v>
      </x:c>
      <x:c r="B8" s="26" t="str">
        <x:v>W2 Clinical workflow review / reviewer sessions</x:v>
      </x:c>
      <x:c r="C8" s="26" t="str">
        <x:v>業務費—臨時人員費用/資料蒐集費</x:v>
      </x:c>
      <x:c r="D8" s="26" t="str">
        <x:v>staff-friction walkthrough、門診流程觀察與紀錄</x:v>
      </x:c>
      <x:c r="E8" s="27" t="n">
        <x:v>7500</x:v>
      </x:c>
      <x:c r="F8" s="26" t="str">
        <x:v>session</x:v>
      </x:c>
      <x:c r="G8" s="26" t="n">
        <x:v>12</x:v>
      </x:c>
      <x:c r="H8" s="27" t="n">
        <x:f>E8*G8</x:f>
        <x:v>90000</x:v>
      </x:c>
      <x:c r="I8" s="26" t="n">
        <x:v>12</x:v>
      </x:c>
      <x:c r="J8" s="27" t="n">
        <x:f>E8*I8</x:f>
        <x:v>90000</x:v>
      </x:c>
      <x:c r="K8" s="26" t="n">
        <x:v>8</x:v>
      </x:c>
      <x:c r="L8" s="27" t="n">
        <x:f>E8*K8</x:f>
        <x:v>60000</x:v>
      </x:c>
      <x:c r="M8" s="27" t="n">
        <x:f>SUM(H8,J8,L8)</x:f>
        <x:v>240000</x:v>
      </x:c>
      <x:c r="N8" s="26" t="str">
        <x:v>staff-friction review</x:v>
      </x:c>
      <x:c r="O8" s="26" t="str">
        <x:v>Clinical / workflow owner</x:v>
      </x:c>
      <x:c r="P8" s="26" t="str">
        <x:v>臨時人員與資料蒐集按工作性質、日/時計酬核實；工作流觀察需有紀錄表與驗收。</x:v>
      </x:c>
      <x:c r="Q8" s="26" t="str">
        <x:v>不得將 routine 門診行政工作偽列。</x:v>
      </x:c>
      <x:c r="R8" s="26" t="str">
        <x:v>https://htsprout.nhri.org.tw/UploadFile/0415-attach1.pdf</x:v>
      </x:c>
    </x:row>
    <x:row r="9" ht="36" customHeight="1">
      <x:c r="A9" s="26" t="str">
        <x:v>W2-03</x:v>
      </x:c>
      <x:c r="B9" s="26" t="str">
        <x:v>W2 Clinical workflow review / reviewer sessions</x:v>
      </x:c>
      <x:c r="C9" s="26" t="str">
        <x:v>業務費—審查費/出席費</x:v>
      </x:c>
      <x:c r="D9" s="26" t="str">
        <x:v>外部專家實質審查或諮詢</x:v>
      </x:c>
      <x:c r="E9" s="27" t="n">
        <x:v>2500</x:v>
      </x:c>
      <x:c r="F9" s="26" t="str">
        <x:v>meeting</x:v>
      </x:c>
      <x:c r="G9" s="26" t="n">
        <x:v>24</x:v>
      </x:c>
      <x:c r="H9" s="27" t="n">
        <x:f>E9*G9</x:f>
        <x:v>60000</x:v>
      </x:c>
      <x:c r="I9" s="26" t="n">
        <x:v>24</x:v>
      </x:c>
      <x:c r="J9" s="27" t="n">
        <x:f>E9*I9</x:f>
        <x:v>60000</x:v>
      </x:c>
      <x:c r="K9" s="26" t="n">
        <x:v>16</x:v>
      </x:c>
      <x:c r="L9" s="27" t="n">
        <x:f>E9*K9</x:f>
        <x:v>40000</x:v>
      </x:c>
      <x:c r="M9" s="27" t="n">
        <x:f>SUM(H9,J9,L9)</x:f>
        <x:v>160000</x:v>
      </x:c>
      <x:c r="N9" s="26" t="str">
        <x:v>reviewer comments resolved</x:v>
      </x:c>
      <x:c r="O9" s="26" t="str">
        <x:v>主提案 PM</x:v>
      </x:c>
      <x:c r="P9" s="26" t="str">
        <x:v>中央政府出席費每次會議以 2,500 元為上限；健康台灣亦要求計畫項下相關人員不得支領審查/出席費。</x:v>
      </x:c>
      <x:c r="Q9" s="26" t="str">
        <x:v>限外部且非計畫支薪人員；例行會議不可列。</x:v>
      </x:c>
      <x:c r="R9" s="26" t="str">
        <x:v>https://www.dbas.taichung.gov.tw/media/900350/%E4%B8%9918%E4%B8%AD%E5%A4%AE%E6%94%BF%E5%BA%9C%E5%90%84%E6%A9%9F%E9%97%9C%E5%AD%B8%E6%A0%A1%E5%87%BA%E5%B8%AD%E8%B2%BB%E5%8F%8A%E7%A8%BF%E8%B2%BB%E6%94%AF%E7%B5%A6%E8%A6%81%E9%BB%9E-1111220%E4%BF%AE%E6%AD%A3-%E5%90%AB%E9%99%84%E4%BB%B6.pdf</x:v>
      </x:c>
    </x:row>
    <x:row r="10" ht="36" customHeight="1">
      <x:c r="A10" s="26" t="str">
        <x:v>W3-01</x:v>
      </x:c>
      <x:c r="B10" s="26" t="str">
        <x:v>W3 Question governance / intake / summary schema</x:v>
      </x:c>
      <x:c r="C10" s="26" t="str">
        <x:v>人事費—醫療專業與管理人員/研究人力費</x:v>
      </x:c>
      <x:c r="D10" s="26" t="str">
        <x:v>泌尿科 question set 設計、臨床邏輯修訂、版本紀錄</x:v>
      </x:c>
      <x:c r="E10" s="27" t="n">
        <x:v>25000</x:v>
      </x:c>
      <x:c r="F10" s="26" t="str">
        <x:v>module/version</x:v>
      </x:c>
      <x:c r="G10" s="26" t="n">
        <x:v>16</x:v>
      </x:c>
      <x:c r="H10" s="27" t="n">
        <x:f>E10*G10</x:f>
        <x:v>400000</x:v>
      </x:c>
      <x:c r="I10" s="26" t="n">
        <x:v>8</x:v>
      </x:c>
      <x:c r="J10" s="27" t="n">
        <x:f>E10*I10</x:f>
        <x:v>200000</x:v>
      </x:c>
      <x:c r="K10" s="26" t="n">
        <x:v>4</x:v>
      </x:c>
      <x:c r="L10" s="27" t="n">
        <x:f>E10*K10</x:f>
        <x:v>100000</x:v>
      </x:c>
      <x:c r="M10" s="27" t="n">
        <x:f>SUM(H10,J10,L10)</x:f>
        <x:v>700000</x:v>
      </x:c>
      <x:c r="N10" s="26" t="str">
        <x:v>question bank、version log、minimum fields</x:v>
      </x:c>
      <x:c r="O10" s="26" t="str">
        <x:v>Clinical + AI governance owner</x:v>
      </x:c>
      <x:c r="P10" s="26" t="str">
        <x:v>以臨床專業工作量與研究人力投入估算；不可寫成 AI 自動診斷。</x:v>
      </x:c>
      <x:c r="Q10" s="26" t="str">
        <x:v>CRM、PSA SOP、病人追蹤不列。</x:v>
      </x:c>
      <x:c r="R10" s="26" t="str">
        <x:v>https://www.ey.gov.tw/Page/5A8A0CB5B41DA11E/f1618406-1ed7-4e72-bd4f-d1b6faaf8381</x:v>
      </x:c>
    </x:row>
    <x:row r="11" ht="36" customHeight="1">
      <x:c r="A11" s="26" t="str">
        <x:v>W3-02</x:v>
      </x:c>
      <x:c r="B11" s="26" t="str">
        <x:v>W3 Question governance / intake / summary schema</x:v>
      </x:c>
      <x:c r="C11" s="26" t="str">
        <x:v>人事費—行政或研究人力費</x:v>
      </x:c>
      <x:c r="D11" s="26" t="str">
        <x:v>一頁式摘要 schema、source label、missing-field specification</x:v>
      </x:c>
      <x:c r="E11" s="27" t="n">
        <x:v>50000</x:v>
      </x:c>
      <x:c r="F11" s="26" t="str">
        <x:v>version package</x:v>
      </x:c>
      <x:c r="G11" s="26" t="n">
        <x:v>6</x:v>
      </x:c>
      <x:c r="H11" s="27" t="n">
        <x:f>E11*G11</x:f>
        <x:v>300000</x:v>
      </x:c>
      <x:c r="I11" s="26" t="n">
        <x:v>4</x:v>
      </x:c>
      <x:c r="J11" s="27" t="n">
        <x:f>E11*I11</x:f>
        <x:v>200000</x:v>
      </x:c>
      <x:c r="K11" s="26" t="n">
        <x:v>2</x:v>
      </x:c>
      <x:c r="L11" s="27" t="n">
        <x:f>E11*K11</x:f>
        <x:v>100000</x:v>
      </x:c>
      <x:c r="M11" s="27" t="n">
        <x:f>SUM(H11,J11,L11)</x:f>
        <x:v>600000</x:v>
      </x:c>
      <x:c r="N11" s="26" t="str">
        <x:v>source label 100%、missing-field visibility &gt;=90%</x:v>
      </x:c>
      <x:c r="O11" s="26" t="str">
        <x:v>AI/schema owner</x:v>
      </x:c>
      <x:c r="P11" s="26" t="str">
        <x:v>範疇三允許 AI 協助臨床、流程效率與醫療數據安全；schema 是治理與驗收核心。</x:v>
      </x:c>
      <x:c r="Q11" s="26" t="str">
        <x:v>不含 HIS/EMR writeback。</x:v>
      </x:c>
      <x:c r="R11" s="26" t="str">
        <x:v>https://dep.mohw.gov.tw/TDU/cp-1567-82709-121.html</x:v>
      </x:c>
    </x:row>
    <x:row r="12" ht="36" customHeight="1">
      <x:c r="A12" s="26" t="str">
        <x:v>W3-03</x:v>
      </x:c>
      <x:c r="B12" s="26" t="str">
        <x:v>W3 Question governance / intake / summary schema</x:v>
      </x:c>
      <x:c r="C12" s="26" t="str">
        <x:v>業務費—資料蒐集費/臨時人員費用</x:v>
      </x:c>
      <x:c r="D12" s="26" t="str">
        <x:v>低摩擦 UI 文字、可近用性、填答流程測試</x:v>
      </x:c>
      <x:c r="E12" s="27" t="n">
        <x:v>100000</x:v>
      </x:c>
      <x:c r="F12" s="26" t="str">
        <x:v>test package</x:v>
      </x:c>
      <x:c r="G12" s="26" t="n">
        <x:v>3</x:v>
      </x:c>
      <x:c r="H12" s="27" t="n">
        <x:f>E12*G12</x:f>
        <x:v>300000</x:v>
      </x:c>
      <x:c r="I12" s="26" t="n">
        <x:v>2</x:v>
      </x:c>
      <x:c r="J12" s="27" t="n">
        <x:f>E12*I12</x:f>
        <x:v>200000</x:v>
      </x:c>
      <x:c r="K12" s="26" t="n">
        <x:v>1</x:v>
      </x:c>
      <x:c r="L12" s="27" t="n">
        <x:f>E12*K12</x:f>
        <x:v>100000</x:v>
      </x:c>
      <x:c r="M12" s="27" t="n">
        <x:f>SUM(H12,J12,L12)</x:f>
        <x:v>600000</x:v>
      </x:c>
      <x:c r="N12" s="26" t="str">
        <x:v>completion &gt;=90%、staff-friction pass</x:v>
      </x:c>
      <x:c r="O12" s="26" t="str">
        <x:v>UX/workflow owner</x:v>
      </x:c>
      <x:c r="P12" s="26" t="str">
        <x:v>以測試包估算，含腳本、紀錄、分析、修正版；正式可拆成臨時人員、資料蒐集、印刷等。</x:v>
      </x:c>
      <x:c r="Q12" s="26" t="str">
        <x:v>不可購置個人平板或手機。</x:v>
      </x:c>
      <x:c r="R12" s="26" t="str">
        <x:v>https://htsprout.nhri.org.tw/UploadFile/0415-attach1.pdf</x:v>
      </x:c>
    </x:row>
    <x:row r="13" ht="36" customHeight="1">
      <x:c r="A13" s="26" t="str">
        <x:v>W4-01</x:v>
      </x:c>
      <x:c r="B13" s="26" t="str">
        <x:v>W4 AI prototype / summary generation / review evidence</x:v>
      </x:c>
      <x:c r="C13" s="26" t="str">
        <x:v>人事費—行政或研究人力費</x:v>
      </x:c>
      <x:c r="D13" s="26" t="str">
        <x:v>AI / software prototype engineering effort</x:v>
      </x:c>
      <x:c r="E13" s="27" t="n">
        <x:v>85000</x:v>
      </x:c>
      <x:c r="F13" s="26" t="str">
        <x:v>人月</x:v>
      </x:c>
      <x:c r="G13" s="26" t="n">
        <x:v>6</x:v>
      </x:c>
      <x:c r="H13" s="27" t="n">
        <x:f>E13*G13</x:f>
        <x:v>510000</x:v>
      </x:c>
      <x:c r="I13" s="26" t="n">
        <x:v>5</x:v>
      </x:c>
      <x:c r="J13" s="27" t="n">
        <x:f>E13*I13</x:f>
        <x:v>425000</x:v>
      </x:c>
      <x:c r="K13" s="26" t="n">
        <x:v>2</x:v>
      </x:c>
      <x:c r="L13" s="27" t="n">
        <x:f>E13*K13</x:f>
        <x:v>170000</x:v>
      </x:c>
      <x:c r="M13" s="27" t="n">
        <x:f>SUM(H13,J13,L13)</x:f>
        <x:v>1105000</x:v>
      </x:c>
      <x:c r="N13" s="26" t="str">
        <x:v>prototype、traceable summary、audit sample</x:v>
      </x:c>
      <x:c r="O13" s="26" t="str">
        <x:v>Engineering owner</x:v>
      </x:c>
      <x:c r="P13" s="26" t="str">
        <x:v>碩士以上工程/AI 人力成本顯著高於最低工資；以 85,000/人月作載入成本，正式依機構標準。</x:v>
      </x:c>
      <x:c r="Q13" s="26" t="str">
        <x:v>不承諾 production deployment；不做自動診斷或自動處置。</x:v>
      </x:c>
      <x:c r="R13" s="26" t="str">
        <x:v>https://law.nstc.gov.tw/LawContent.aspx?id=FL028686</x:v>
      </x:c>
    </x:row>
    <x:row r="14" ht="36" customHeight="1">
      <x:c r="A14" s="26" t="str">
        <x:v>W4-02</x:v>
      </x:c>
      <x:c r="B14" s="26" t="str">
        <x:v>W4 AI prototype / summary generation / review evidence</x:v>
      </x:c>
      <x:c r="C14" s="26" t="str">
        <x:v>業務費—租金/權利使用費</x:v>
      </x:c>
      <x:c r="D14" s="26" t="str">
        <x:v>LLM / ASR / cloud / API / evaluation trace logging service</x:v>
      </x:c>
      <x:c r="E14" s="27" t="n">
        <x:v>10000</x:v>
      </x:c>
      <x:c r="F14" s="26" t="str">
        <x:v>service-month</x:v>
      </x:c>
      <x:c r="G14" s="26" t="n">
        <x:v>18</x:v>
      </x:c>
      <x:c r="H14" s="27" t="n">
        <x:f>E14*G14</x:f>
        <x:v>180000</x:v>
      </x:c>
      <x:c r="I14" s="26" t="n">
        <x:v>15</x:v>
      </x:c>
      <x:c r="J14" s="27" t="n">
        <x:f>E14*I14</x:f>
        <x:v>150000</x:v>
      </x:c>
      <x:c r="K14" s="26" t="n">
        <x:v>8</x:v>
      </x:c>
      <x:c r="L14" s="27" t="n">
        <x:f>E14*K14</x:f>
        <x:v>80000</x:v>
      </x:c>
      <x:c r="M14" s="27" t="n">
        <x:f>SUM(H14,J14,L14)</x:f>
        <x:v>410000</x:v>
      </x:c>
      <x:c r="N14" s="26" t="str">
        <x:v>trace log、model/output versioning</x:v>
      </x:c>
      <x:c r="O14" s="26" t="str">
        <x:v>Engineering + security owner</x:v>
      </x:c>
      <x:c r="P14" s="26" t="str">
        <x:v>健康台灣標準允許資訊軟硬體租金；若為購置或平台建置，需改列設備費。</x:v>
      </x:c>
      <x:c r="Q14" s="26" t="str">
        <x:v>須保留資料最小化、存取控制、audit log。</x:v>
      </x:c>
      <x:c r="R14" s="26" t="str">
        <x:v>https://htsprout.nhri.org.tw/UploadFile/0415-attach1.pdf</x:v>
      </x:c>
    </x:row>
    <x:row r="15" ht="36" customHeight="1">
      <x:c r="A15" s="26" t="str">
        <x:v>W4-03</x:v>
      </x:c>
      <x:c r="B15" s="26" t="str">
        <x:v>W4 AI prototype / summary generation / review evidence</x:v>
      </x:c>
      <x:c r="C15" s="26" t="str">
        <x:v>業務費—資料蒐集費/臨時人員費用</x:v>
      </x:c>
      <x:c r="D15" s="26" t="str">
        <x:v>synthetic case generation、audit annotation、review dataset</x:v>
      </x:c>
      <x:c r="E15" s="27" t="n">
        <x:v>20000</x:v>
      </x:c>
      <x:c r="F15" s="26" t="str">
        <x:v>batch</x:v>
      </x:c>
      <x:c r="G15" s="26" t="n">
        <x:v>8</x:v>
      </x:c>
      <x:c r="H15" s="27" t="n">
        <x:f>E15*G15</x:f>
        <x:v>160000</x:v>
      </x:c>
      <x:c r="I15" s="26" t="n">
        <x:v>5</x:v>
      </x:c>
      <x:c r="J15" s="27" t="n">
        <x:f>E15*I15</x:f>
        <x:v>100000</x:v>
      </x:c>
      <x:c r="K15" s="26" t="n">
        <x:v>2</x:v>
      </x:c>
      <x:c r="L15" s="27" t="n">
        <x:f>E15*K15</x:f>
        <x:v>40000</x:v>
      </x:c>
      <x:c r="M15" s="27" t="n">
        <x:f>SUM(H15,J15,L15)</x:f>
        <x:v>300000</x:v>
      </x:c>
      <x:c r="N15" s="26" t="str">
        <x:v>synthetic evidence、unsafe wording = 0</x:v>
      </x:c>
      <x:c r="O15" s="26" t="str">
        <x:v>Evaluation / AI safety owner</x:v>
      </x:c>
      <x:c r="P15" s="26" t="str">
        <x:v>不接觸真實病患資料前先以合成案例驗證；費用按批次產出與標註紀錄驗收。</x:v>
      </x:c>
      <x:c r="Q15" s="26" t="str">
        <x:v>若改用真實資料，需啟動 QI/IRB 與資料治理 route。</x:v>
      </x:c>
      <x:c r="R15" s="26" t="str">
        <x:v>https://htsprout.nhri.org.tw/download.html</x:v>
      </x:c>
    </x:row>
    <x:row r="16" ht="36" customHeight="1">
      <x:c r="A16" s="26" t="str">
        <x:v>W4-04</x:v>
      </x:c>
      <x:c r="B16" s="26" t="str">
        <x:v>W4 AI prototype / summary generation / review evidence</x:v>
      </x:c>
      <x:c r="C16" s="26" t="str">
        <x:v>業務費—其他/資安測試服務</x:v>
      </x:c>
      <x:c r="D16" s="26" t="str">
        <x:v>security/code review/test automation reserve</x:v>
      </x:c>
      <x:c r="E16" s="27" t="n">
        <x:v>5000</x:v>
      </x:c>
      <x:c r="F16" s="26" t="str">
        <x:v>test cycle</x:v>
      </x:c>
      <x:c r="G16" s="26" t="n">
        <x:v>10</x:v>
      </x:c>
      <x:c r="H16" s="27" t="n">
        <x:f>E16*G16</x:f>
        <x:v>50000</x:v>
      </x:c>
      <x:c r="I16" s="26" t="n">
        <x:v>5</x:v>
      </x:c>
      <x:c r="J16" s="27" t="n">
        <x:f>E16*I16</x:f>
        <x:v>25000</x:v>
      </x:c>
      <x:c r="K16" s="26" t="n">
        <x:v>2</x:v>
      </x:c>
      <x:c r="L16" s="27" t="n">
        <x:f>E16*K16</x:f>
        <x:v>10000</x:v>
      </x:c>
      <x:c r="M16" s="27" t="n">
        <x:f>SUM(H16,J16,L16)</x:f>
        <x:v>85000</x:v>
      </x:c>
      <x:c r="N16" s="26" t="str">
        <x:v>security checklist、regression evidence</x:v>
      </x:c>
      <x:c r="O16" s="26" t="str">
        <x:v>Security owner</x:v>
      </x:c>
      <x:c r="P16" s="26" t="str">
        <x:v>資安與資料治理是範疇三核心；正式科目需由 budget owner 依採購/委外性質定案。</x:v>
      </x:c>
      <x:c r="Q16" s="26" t="str">
        <x:v>不得把平台建置誤列電腦處理費。</x:v>
      </x:c>
      <x:c r="R16" s="26" t="str">
        <x:v>https://htsprout.nhri.org.tw/UploadFile/0415-attach1.pdf</x:v>
      </x:c>
    </x:row>
    <x:row r="17" ht="36" customHeight="1">
      <x:c r="A17" s="26" t="str">
        <x:v>W5-01</x:v>
      </x:c>
      <x:c r="B17" s="26" t="str">
        <x:v>W5 AI / data / security / privacy governance</x:v>
      </x:c>
      <x:c r="C17" s="26" t="str">
        <x:v>業務費—講座鐘點費/審查費/工作坊支出</x:v>
      </x:c>
      <x:c r="D17" s="26" t="str">
        <x:v>AI/data/security governance checklist workshop</x:v>
      </x:c>
      <x:c r="E17" s="27" t="n">
        <x:v>50000</x:v>
      </x:c>
      <x:c r="F17" s="26" t="str">
        <x:v>package</x:v>
      </x:c>
      <x:c r="G17" s="26" t="n">
        <x:v>4</x:v>
      </x:c>
      <x:c r="H17" s="27" t="n">
        <x:f>E17*G17</x:f>
        <x:v>200000</x:v>
      </x:c>
      <x:c r="I17" s="26" t="n">
        <x:v>3</x:v>
      </x:c>
      <x:c r="J17" s="27" t="n">
        <x:f>E17*I17</x:f>
        <x:v>150000</x:v>
      </x:c>
      <x:c r="K17" s="26" t="n">
        <x:v>2</x:v>
      </x:c>
      <x:c r="L17" s="27" t="n">
        <x:f>E17*K17</x:f>
        <x:v>100000</x:v>
      </x:c>
      <x:c r="M17" s="27" t="n">
        <x:f>SUM(H17,J17,L17)</x:f>
        <x:v>450000</x:v>
      </x:c>
      <x:c r="N17" s="26" t="str">
        <x:v>AI/data/security governance checklist complete</x:v>
      </x:c>
      <x:c r="O17" s="26" t="str">
        <x:v>Governance owner</x:v>
      </x:c>
      <x:c r="P17" s="26" t="str">
        <x:v>官方下載區列 AI、資安、資料治理自我檢核表；工作坊要產出檢核表與決策紀錄。</x:v>
      </x:c>
      <x:c r="Q17" s="26" t="str">
        <x:v>若由計畫人員支薪，不得再支領鐘點/出席。</x:v>
      </x:c>
      <x:c r="R17" s="26" t="str">
        <x:v>https://htsprout.nhri.org.tw/download.html</x:v>
      </x:c>
    </x:row>
    <x:row r="18" ht="36" customHeight="1">
      <x:c r="A18" s="26" t="str">
        <x:v>W5-02</x:v>
      </x:c>
      <x:c r="B18" s="26" t="str">
        <x:v>W5 AI / data / security / privacy governance</x:v>
      </x:c>
      <x:c r="C18" s="26" t="str">
        <x:v>業務費—審查費/其他</x:v>
      </x:c>
      <x:c r="D18" s="26" t="str">
        <x:v>privacy/security review artifacts、procurement gates</x:v>
      </x:c>
      <x:c r="E18" s="27" t="n">
        <x:v>40000</x:v>
      </x:c>
      <x:c r="F18" s="26" t="str">
        <x:v>package</x:v>
      </x:c>
      <x:c r="G18" s="26" t="n">
        <x:v>3</x:v>
      </x:c>
      <x:c r="H18" s="27" t="n">
        <x:f>E18*G18</x:f>
        <x:v>120000</x:v>
      </x:c>
      <x:c r="I18" s="26" t="n">
        <x:v>3</x:v>
      </x:c>
      <x:c r="J18" s="27" t="n">
        <x:f>E18*I18</x:f>
        <x:v>120000</x:v>
      </x:c>
      <x:c r="K18" s="26" t="n">
        <x:v>2</x:v>
      </x:c>
      <x:c r="L18" s="27" t="n">
        <x:f>E18*K18</x:f>
        <x:v>80000</x:v>
      </x:c>
      <x:c r="M18" s="27" t="n">
        <x:f>SUM(H18,J18,L18)</x:f>
        <x:v>320000</x:v>
      </x:c>
      <x:c r="N18" s="26" t="str">
        <x:v>privacy review、procurement gate、access control note</x:v>
      </x:c>
      <x:c r="O18" s="26" t="str">
        <x:v>Security / procurement owner</x:v>
      </x:c>
      <x:c r="P18" s="26" t="str">
        <x:v>採購達公告金額需依政府採購法並留合約、驗收與證明；此列保留審查與文件產出。</x:v>
      </x:c>
      <x:c r="Q18" s="26" t="str">
        <x:v>正式採購 threshold 由主提單位確認。</x:v>
      </x:c>
      <x:c r="R18" s="26" t="str">
        <x:v>https://htsprout.nhri.org.tw/UploadFile/0915-attach1.pdf</x:v>
      </x:c>
    </x:row>
    <x:row r="19" ht="36" customHeight="1">
      <x:c r="A19" s="26" t="str">
        <x:v>W5-03</x:v>
      </x:c>
      <x:c r="B19" s="26" t="str">
        <x:v>W5 AI / data / security / privacy governance</x:v>
      </x:c>
      <x:c r="C19" s="26" t="str">
        <x:v>人事費—行政或研究人力費</x:v>
      </x:c>
      <x:c r="D19" s="26" t="str">
        <x:v>audit log、versioning、safety wording QA cycle</x:v>
      </x:c>
      <x:c r="E19" s="27" t="n">
        <x:v>10000</x:v>
      </x:c>
      <x:c r="F19" s="26" t="str">
        <x:v>cycle</x:v>
      </x:c>
      <x:c r="G19" s="26" t="n">
        <x:v>8</x:v>
      </x:c>
      <x:c r="H19" s="27" t="n">
        <x:f>E19*G19</x:f>
        <x:v>80000</x:v>
      </x:c>
      <x:c r="I19" s="26" t="n">
        <x:v>8</x:v>
      </x:c>
      <x:c r="J19" s="27" t="n">
        <x:f>E19*I19</x:f>
        <x:v>80000</x:v>
      </x:c>
      <x:c r="K19" s="26" t="n">
        <x:v>7</x:v>
      </x:c>
      <x:c r="L19" s="27" t="n">
        <x:f>E19*K19</x:f>
        <x:v>70000</x:v>
      </x:c>
      <x:c r="M19" s="27" t="n">
        <x:f>SUM(H19,J19,L19)</x:f>
        <x:v>230000</x:v>
      </x:c>
      <x:c r="N19" s="26" t="str">
        <x:v>unsafe wording = 0、source label 100%</x:v>
      </x:c>
      <x:c r="O19" s="26" t="str">
        <x:v>AI safety owner</x:v>
      </x:c>
      <x:c r="P19" s="26" t="str">
        <x:v>用小額、持續 QA 支撐審查可信度。</x:v>
      </x:c>
      <x:c r="Q19" s="26" t="str">
        <x:v>不可放任 AI 產生診斷、治療建議、自動分流語句。</x:v>
      </x:c>
      <x:c r="R19" s="26" t="str">
        <x:v>https://www.ey.gov.tw/Page/5A8A0CB5B41DA11E/f1618406-1ed7-4e72-bd4f-d1b6faaf8381</x:v>
      </x:c>
    </x:row>
    <x:row r="20" ht="36" customHeight="1">
      <x:c r="A20" s="26" t="str">
        <x:v>W6-01</x:v>
      </x:c>
      <x:c r="B20" s="26" t="str">
        <x:v>W6 Evaluation / baseline / QI / IRB / limited pilot evidence</x:v>
      </x:c>
      <x:c r="C20" s="26" t="str">
        <x:v>人事費—行政或研究人力費</x:v>
      </x:c>
      <x:c r="D20" s="26" t="str">
        <x:v>baseline measurement / evaluation analyst</x:v>
      </x:c>
      <x:c r="E20" s="27" t="n">
        <x:v>50000</x:v>
      </x:c>
      <x:c r="F20" s="26" t="str">
        <x:v>人月</x:v>
      </x:c>
      <x:c r="G20" s="26" t="n">
        <x:v>3</x:v>
      </x:c>
      <x:c r="H20" s="27" t="n">
        <x:f>E20*G20</x:f>
        <x:v>150000</x:v>
      </x:c>
      <x:c r="I20" s="26" t="n">
        <x:v>4</x:v>
      </x:c>
      <x:c r="J20" s="27" t="n">
        <x:f>E20*I20</x:f>
        <x:v>200000</x:v>
      </x:c>
      <x:c r="K20" s="26" t="n">
        <x:v>3</x:v>
      </x:c>
      <x:c r="L20" s="27" t="n">
        <x:f>E20*K20</x:f>
        <x:v>150000</x:v>
      </x:c>
      <x:c r="M20" s="27" t="n">
        <x:f>SUM(H20,J20,L20)</x:f>
        <x:v>500000</x:v>
      </x:c>
      <x:c r="N20" s="26" t="str">
        <x:v>baseline、Y2/Y3 evaluation report</x:v>
      </x:c>
      <x:c r="O20" s="26" t="str">
        <x:v>Evaluation owner</x:v>
      </x:c>
      <x:c r="P20" s="26" t="str">
        <x:v>以 50,000/人月計入評価、統計與 evidence 整理；正式薪資依機構標準。</x:v>
      </x:c>
      <x:c r="Q20" s="26" t="str">
        <x:v>現況未測者不可偽造 baseline，需寫待 baseline。</x:v>
      </x:c>
      <x:c r="R20" s="26" t="str">
        <x:v>https://law.nstc.gov.tw/LawContent.aspx?id=FL028686</x:v>
      </x:c>
    </x:row>
    <x:row r="21" ht="36" customHeight="1">
      <x:c r="A21" s="26" t="str">
        <x:v>W6-02</x:v>
      </x:c>
      <x:c r="B21" s="26" t="str">
        <x:v>W6 Evaluation / baseline / QI / IRB / limited pilot evidence</x:v>
      </x:c>
      <x:c r="C21" s="26" t="str">
        <x:v>業務費—人體試驗委員會審查費</x:v>
      </x:c>
      <x:c r="D21" s="26" t="str">
        <x:v>QI/IRB preparation and review fee reserve</x:v>
      </x:c>
      <x:c r="E21" s="27" t="n">
        <x:v>100000</x:v>
      </x:c>
      <x:c r="F21" s="26" t="str">
        <x:v>case/year</x:v>
      </x:c>
      <x:c r="G21" s="26" t="n">
        <x:v>1</x:v>
      </x:c>
      <x:c r="H21" s="27" t="n">
        <x:f>E21*G21</x:f>
        <x:v>100000</x:v>
      </x:c>
      <x:c r="I21" s="26" t="n">
        <x:v>1</x:v>
      </x:c>
      <x:c r="J21" s="27" t="n">
        <x:f>E21*I21</x:f>
        <x:v>100000</x:v>
      </x:c>
      <x:c r="K21" s="26" t="n">
        <x:v>1</x:v>
      </x:c>
      <x:c r="L21" s="27" t="n">
        <x:f>E21*K21</x:f>
        <x:v>100000</x:v>
      </x:c>
      <x:c r="M21" s="27" t="n">
        <x:f>SUM(H21,J21,L21)</x:f>
        <x:v>300000</x:v>
      </x:c>
      <x:c r="N21" s="26" t="str">
        <x:v>QI/IRB determination、protocol if needed</x:v>
      </x:c>
      <x:c r="O21" s="26" t="str">
        <x:v>IRB/QI owner</x:v>
      </x:c>
      <x:c r="P21" s="26" t="str">
        <x:v>健康台灣標準：涉及人體檢體採集或人體試驗需 IRB，IRB 審查費每一人體試驗案以 100,000 元為限。</x:v>
      </x:c>
      <x:c r="Q21" s="26" t="str">
        <x:v>若判定非 IRB，應經 budget owner 核定轉至 evaluation/QI。</x:v>
      </x:c>
      <x:c r="R21" s="26" t="str">
        <x:v>https://htsprout.nhri.org.tw/UploadFile/0415-attach1.pdf</x:v>
      </x:c>
    </x:row>
    <x:row r="22" ht="36" customHeight="1">
      <x:c r="A22" s="26" t="str">
        <x:v>W6-03</x:v>
      </x:c>
      <x:c r="B22" s="26" t="str">
        <x:v>W6 Evaluation / baseline / QI / IRB / limited pilot evidence</x:v>
      </x:c>
      <x:c r="C22" s="26" t="str">
        <x:v>業務費—調查訪問費</x:v>
      </x:c>
      <x:c r="D22" s="26" t="str">
        <x:v>clinician/staff survey or interview reimbursement</x:v>
      </x:c>
      <x:c r="E22" s="27" t="n">
        <x:v>200</x:v>
      </x:c>
      <x:c r="F22" s="26" t="str">
        <x:v>questionnaire/person</x:v>
      </x:c>
      <x:c r="G22" s="26" t="n">
        <x:v>0</x:v>
      </x:c>
      <x:c r="H22" s="27" t="n">
        <x:f>E22*G22</x:f>
        <x:v>0</x:v>
      </x:c>
      <x:c r="I22" s="26" t="n">
        <x:v>500</x:v>
      </x:c>
      <x:c r="J22" s="27" t="n">
        <x:f>E22*I22</x:f>
        <x:v>100000</x:v>
      </x:c>
      <x:c r="K22" s="26" t="n">
        <x:v>500</x:v>
      </x:c>
      <x:c r="L22" s="27" t="n">
        <x:f>E22*K22</x:f>
        <x:v>100000</x:v>
      </x:c>
      <x:c r="M22" s="27" t="n">
        <x:f>SUM(H22,J22,L22)</x:f>
        <x:v>200000</x:v>
      </x:c>
      <x:c r="N22" s="26" t="str">
        <x:v>usefulness median &gt;=4/5、staff-friction evidence</x:v>
      </x:c>
      <x:c r="O22" s="26" t="str">
        <x:v>Evaluation owner</x:v>
      </x:c>
      <x:c r="P22" s="26" t="str">
        <x:v>問卷或訪視費每份 50-300 元，本案以 200 元中位估算。</x:v>
      </x:c>
      <x:c r="Q22" s="26" t="str">
        <x:v>不得重複報支差旅交通費。</x:v>
      </x:c>
      <x:c r="R22" s="26" t="str">
        <x:v>https://htsprout.nhri.org.tw/UploadFile/0415-attach1.pdf</x:v>
      </x:c>
    </x:row>
    <x:row r="23" ht="36" customHeight="1">
      <x:c r="A23" s="26" t="str">
        <x:v>W7-01</x:v>
      </x:c>
      <x:c r="B23" s="26" t="str">
        <x:v>W7 Optional ASR / intake station readiness</x:v>
      </x:c>
      <x:c r="C23" s="26" t="str">
        <x:v>業務費—租金/權利使用費</x:v>
      </x:c>
      <x:c r="D23" s="26" t="str">
        <x:v>ASR confirmation trial / cloud transcript safety tests</x:v>
      </x:c>
      <x:c r="E23" s="27" t="n">
        <x:v>20000</x:v>
      </x:c>
      <x:c r="F23" s="26" t="str">
        <x:v>package</x:v>
      </x:c>
      <x:c r="G23" s="26" t="n">
        <x:v>6</x:v>
      </x:c>
      <x:c r="H23" s="27" t="n">
        <x:f>E23*G23</x:f>
        <x:v>120000</x:v>
      </x:c>
      <x:c r="I23" s="26" t="n">
        <x:v>4</x:v>
      </x:c>
      <x:c r="J23" s="27" t="n">
        <x:f>E23*I23</x:f>
        <x:v>80000</x:v>
      </x:c>
      <x:c r="K23" s="26" t="n">
        <x:v>0</x:v>
      </x:c>
      <x:c r="L23" s="27" t="n">
        <x:f>E23*K23</x:f>
        <x:v>0</x:v>
      </x:c>
      <x:c r="M23" s="27" t="n">
        <x:f>SUM(H23,J23,L23)</x:f>
        <x:v>200000</x:v>
      </x:c>
      <x:c r="N23" s="26" t="str">
        <x:v>ASR-confirmed only；unconfirmed transcript excluded</x:v>
      </x:c>
      <x:c r="O23" s="26" t="str">
        <x:v>Engineering owner</x:v>
      </x:c>
      <x:c r="P23" s="26" t="str">
        <x:v>作為降低填答負擔與可近用性選項；未確認 transcript 不進摘要。</x:v>
      </x:c>
      <x:c r="Q23" s="26" t="str">
        <x:v>若無 accessibility/input burden KPI，即停用或移除。</x:v>
      </x:c>
      <x:c r="R23" s="26" t="str">
        <x:v>https://htsprout.nhri.org.tw/UploadFile/0415-attach1.pdf</x:v>
      </x:c>
    </x:row>
    <x:row r="24" ht="36" customHeight="1">
      <x:c r="A24" s="26" t="str">
        <x:v>W7-02</x:v>
      </x:c>
      <x:c r="B24" s="26" t="str">
        <x:v>W7 Optional ASR / intake station readiness</x:v>
      </x:c>
      <x:c r="C24" s="26" t="str">
        <x:v>設備費（或業務費—租金，依採購定案）</x:v>
      </x:c>
      <x:c r="D24" s="26" t="str">
        <x:v>clinic-owned intake station readiness；非個人手機/平板</x:v>
      </x:c>
      <x:c r="E24" s="27" t="n">
        <x:v>10000</x:v>
      </x:c>
      <x:c r="F24" s="26" t="str">
        <x:v>unit/month or device</x:v>
      </x:c>
      <x:c r="G24" s="26" t="n">
        <x:v>18</x:v>
      </x:c>
      <x:c r="H24" s="27" t="n">
        <x:f>E24*G24</x:f>
        <x:v>180000</x:v>
      </x:c>
      <x:c r="I24" s="26" t="n">
        <x:v>5</x:v>
      </x:c>
      <x:c r="J24" s="27" t="n">
        <x:f>E24*I24</x:f>
        <x:v>50000</x:v>
      </x:c>
      <x:c r="K24" s="26" t="n">
        <x:v>0</x:v>
      </x:c>
      <x:c r="L24" s="27" t="n">
        <x:f>E24*K24</x:f>
        <x:v>0</x:v>
      </x:c>
      <x:c r="M24" s="27" t="n">
        <x:f>SUM(H24,J24,L24)</x:f>
        <x:v>230000</x:v>
      </x:c>
      <x:c r="N24" s="26" t="str">
        <x:v>input station readiness、staff-assisted flow</x:v>
      </x:c>
      <x:c r="O24" s="26" t="str">
        <x:v>Procurement / security owner</x:v>
      </x:c>
      <x:c r="P24" s="26" t="str">
        <x:v>設備需單價 10,000 以上且使用年限 2 年以上；資本門上限 30%。若用租用服務，改列資訊軟硬體租金。</x:v>
      </x:c>
      <x:c r="Q24" s="26" t="str">
        <x:v>不得列個人手機、個人平板；需用診間/櫃台共用設備或租用服務。</x:v>
      </x:c>
      <x:c r="R24" s="26" t="str">
        <x:v>https://htsprout.nhri.org.tw/UploadFile/0415-attach1.pdf</x:v>
      </x:c>
    </x:row>
    <x:row r="25" ht="36" customHeight="1">
      <x:c r="A25" s="26" t="str">
        <x:v>W7-03</x:v>
      </x:c>
      <x:c r="B25" s="26" t="str">
        <x:v>W7 Optional ASR / intake station readiness</x:v>
      </x:c>
      <x:c r="C25" s="26" t="str">
        <x:v>業務費—印刷/資料蒐集/臨時人員費用</x:v>
      </x:c>
      <x:c r="D25" s="26" t="str">
        <x:v>staff-assisted input flow accessibility materials</x:v>
      </x:c>
      <x:c r="E25" s="27" t="n">
        <x:v>10000</x:v>
      </x:c>
      <x:c r="F25" s="26" t="str">
        <x:v>package</x:v>
      </x:c>
      <x:c r="G25" s="26" t="n">
        <x:v>5</x:v>
      </x:c>
      <x:c r="H25" s="27" t="n">
        <x:f>E25*G25</x:f>
        <x:v>50000</x:v>
      </x:c>
      <x:c r="I25" s="26" t="n">
        <x:v>2</x:v>
      </x:c>
      <x:c r="J25" s="27" t="n">
        <x:f>E25*I25</x:f>
        <x:v>20000</x:v>
      </x:c>
      <x:c r="K25" s="26" t="n">
        <x:v>0</x:v>
      </x:c>
      <x:c r="L25" s="27" t="n">
        <x:f>E25*K25</x:f>
        <x:v>0</x:v>
      </x:c>
      <x:c r="M25" s="27" t="n">
        <x:f>SUM(H25,J25,L25)</x:f>
        <x:v>70000</x:v>
      </x:c>
      <x:c r="N25" s="26" t="str">
        <x:v>completion &gt;=90%、low-friction intake</x:v>
      </x:c>
      <x:c r="O25" s="26" t="str">
        <x:v>Workflow owner</x:v>
      </x:c>
      <x:c r="P25" s="26" t="str">
        <x:v>含輔助填答說明、測試腳本、可近用性修正。</x:v>
      </x:c>
      <x:c r="Q25" s="26" t="str">
        <x:v>不含病人訊息推播或 CRM follow-up。</x:v>
      </x:c>
      <x:c r="R25" s="26" t="str">
        <x:v>https://htsprout.nhri.org.tw/UploadFile/0415-attach1.pdf</x:v>
      </x:c>
    </x:row>
    <x:row r="26" ht="36" customHeight="1">
      <x:c r="A26" s="26"/>
      <x:c r="B26" s="26"/>
      <x:c r="C26" s="26"/>
      <x:c r="D26" s="26"/>
      <x:c r="E26" s="27"/>
      <x:c r="F26" s="26"/>
      <x:c r="G26" s="26"/>
      <x:c r="H26" s="27"/>
      <x:c r="I26" s="26"/>
      <x:c r="J26" s="27"/>
      <x:c r="K26" s="26"/>
      <x:c r="L26" s="27"/>
      <x:c r="M26" s="27"/>
      <x:c r="N26" s="26"/>
      <x:c r="O26" s="26"/>
      <x:c r="P26" s="26"/>
      <x:c r="Q26" s="26"/>
      <x:c r="R26" s="26"/>
    </x:row>
    <x:row r="27" ht="36" customHeight="1">
      <x:c r="A27" s="36" t="str">
        <x:v>總計</x:v>
      </x:c>
      <x:c r="B27" s="36"/>
      <x:c r="C27" s="36"/>
      <x:c r="D27" s="36"/>
      <x:c r="E27" s="42"/>
      <x:c r="F27" s="36"/>
      <x:c r="G27" s="36"/>
      <x:c r="H27" s="42" t="n">
        <x:f>SUM(H2:H25)</x:f>
        <x:v>4250000</x:v>
      </x:c>
      <x:c r="I27" s="36"/>
      <x:c r="J27" s="42" t="n">
        <x:f>SUM(J2:J25)</x:f>
        <x:v>3550000</x:v>
      </x:c>
      <x:c r="K27" s="36"/>
      <x:c r="L27" s="42" t="n">
        <x:f>SUM(L2:L25)</x:f>
        <x:v>2200000</x:v>
      </x:c>
      <x:c r="M27" s="42" t="n">
        <x:f>SUM(M2:M25)</x:f>
        <x:v>10000000</x:v>
      </x:c>
      <x:c r="N27" s="36"/>
      <x:c r="O27" s="36"/>
      <x:c r="P27" s="36"/>
      <x:c r="Q27" s="36"/>
      <x:c r="R27" s="36"/>
    </x:row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mergeCells>
    <x:mergeCell ref="A27:G27"/>
  </x:mergeCells>
  <x:pageMargins left="0.7" right="0.7" top="0.75" bottom="0.75" header="0.3" footer="0.3"/>
  <x:tableParts count="1">
    <x:tablePart xmlns:r="http://schemas.openxmlformats.org/officeDocument/2006/relationships" r:id="R20137bd556454b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.6299991607666" hidden="0" customWidth="1"/>
    <x:col min="3" max="3" width="45" hidden="0" customWidth="1"/>
    <x:col min="4" max="4" width="20" hidden="0" customWidth="1"/>
    <x:col min="5" max="5" width="26" hidden="0" customWidth="1"/>
    <x:col min="6" max="6" width="26" hidden="0" customWidth="1"/>
    <x:col min="7" max="7" width="26" hidden="0" customWidth="1"/>
    <x:col min="8" max="8" width="24" hidden="0" customWidth="1"/>
    <x:col min="9" max="9" width="20" hidden="0" customWidth="1"/>
    <x:col min="10" max="10" width="45" hidden="0" customWidth="1"/>
  </x:cols>
  <x:sheetData>
    <x:row r="1" ht="36" customHeight="1">
      <x:c r="A1" s="16" t="str">
        <x:v>KPI</x:v>
      </x:c>
      <x:c r="B1" s="16" t="str">
        <x:v>類型</x:v>
      </x:c>
      <x:c r="C1" s="16" t="str">
        <x:v>定義</x:v>
      </x:c>
      <x:c r="D1" s="16" t="str">
        <x:v>現況</x:v>
      </x:c>
      <x:c r="E1" s="16" t="str">
        <x:v>Y1查核</x:v>
      </x:c>
      <x:c r="F1" s="16" t="str">
        <x:v>Y2查核</x:v>
      </x:c>
      <x:c r="G1" s="16" t="str">
        <x:v>Y3查核</x:v>
      </x:c>
      <x:c r="H1" s="16" t="str">
        <x:v>資料來源</x:v>
      </x:c>
      <x:c r="I1" s="16" t="str">
        <x:v>對應工作包</x:v>
      </x:c>
      <x:c r="J1" s="16" t="str">
        <x:v>風險/修正機制</x:v>
      </x:c>
    </x:row>
    <x:row r="2" ht="36" customHeight="1">
      <x:c r="A2" s="26" t="str">
        <x:v>摘要閱讀時間</x:v>
      </x:c>
      <x:c r="B2" s="26" t="str">
        <x:v>Workflow/efficiency</x:v>
      </x:c>
      <x:c r="C2" s="26" t="str">
        <x:v>reviewer 由打開摘要至完成初步閱讀之秒數；回報中位數與分布</x:v>
      </x:c>
      <x:c r="D2" s="26" t="str">
        <x:v>待 baseline；synthetic case 先測</x:v>
      </x:c>
      <x:c r="E2" s="26" t="str">
        <x:v>design target ≤60秒；回報實測值</x:v>
      </x:c>
      <x:c r="F2" s="26" t="str">
        <x:v>核准流程下維持或改善；若&gt;90秒，縮短摘要欄位</x:v>
      </x:c>
      <x:c r="G2" s="26" t="str">
        <x:v>完成 final evidence</x:v>
      </x:c>
      <x:c r="H2" s="26" t="str">
        <x:v>計時紀錄、reviewer scorecard</x:v>
      </x:c>
      <x:c r="I2" s="26" t="str">
        <x:v>W2,W3,W4,W6</x:v>
      </x:c>
      <x:c r="J2" s="26" t="str">
        <x:v>避免只報漂亮平均值；需附案例數與 reviewer 數</x:v>
      </x:c>
    </x:row>
    <x:row r="3" ht="36" customHeight="1">
      <x:c r="A3" s="26" t="str">
        <x:v>醫師有用性</x:v>
      </x:c>
      <x:c r="B3" s="26" t="str">
        <x:v>User acceptance</x:v>
      </x:c>
      <x:c r="C3" s="26" t="str">
        <x:v>5點量表：摘要是否幫助快速掌握主訴、時序、需補問欄位</x:v>
      </x:c>
      <x:c r="D3" s="26" t="str">
        <x:v>待測</x:v>
      </x:c>
      <x:c r="E3" s="26" t="str">
        <x:v>median ≥4/5 in synthetic review 或列改版計畫</x:v>
      </x:c>
      <x:c r="F3" s="26" t="str">
        <x:v>limited workflow median ≥4/5</x:v>
      </x:c>
      <x:c r="G3" s="26" t="str">
        <x:v>final median ≥4/5 或說明不採用原因</x:v>
      </x:c>
      <x:c r="H3" s="26" t="str">
        <x:v>scorecard</x:v>
      </x:c>
      <x:c r="I3" s="26" t="str">
        <x:v>W2,W6</x:v>
      </x:c>
      <x:c r="J3" s="26" t="str">
        <x:v>若&lt;4，必須回到 schema 迭代</x:v>
      </x:c>
    </x:row>
    <x:row r="4" ht="36" customHeight="1">
      <x:c r="A4" s="26" t="str">
        <x:v>最低必要欄位完成/標示率</x:v>
      </x:c>
      <x:c r="B4" s="26" t="str">
        <x:v>Data completeness</x:v>
      </x:c>
      <x:c r="C4" s="26" t="str">
        <x:v>最低必要欄位完成或明確標示未知/未填之比例</x:v>
      </x:c>
      <x:c r="D4" s="26" t="str">
        <x:v>待 baseline</x:v>
      </x:c>
      <x:c r="E4" s="26" t="str">
        <x:v>≥90%</x:v>
      </x:c>
      <x:c r="F4" s="26" t="str">
        <x:v>≥90%</x:v>
      </x:c>
      <x:c r="G4" s="26" t="str">
        <x:v>≥90% 且完成欄位字典</x:v>
      </x:c>
      <x:c r="H4" s="26" t="str">
        <x:v>intake log / synthetic dataset</x:v>
      </x:c>
      <x:c r="I4" s="26" t="str">
        <x:v>W3,W4,W6</x:v>
      </x:c>
      <x:c r="J4" s="26" t="str">
        <x:v>不可把未填欄位當作完成；需區分 unknown/missing</x:v>
      </x:c>
    </x:row>
    <x:row r="5" ht="36" customHeight="1">
      <x:c r="A5" s="26" t="str">
        <x:v>缺漏欄位可見率</x:v>
      </x:c>
      <x:c r="B5" s="26" t="str">
        <x:v>Safety/workflow</x:v>
      </x:c>
      <x:c r="C5" s="26" t="str">
        <x:v>應標示之重要缺漏欄位中，被摘要明確標示比例</x:v>
      </x:c>
      <x:c r="D5" s="26" t="str">
        <x:v>待測</x:v>
      </x:c>
      <x:c r="E5" s="26" t="str">
        <x:v>≥90%</x:v>
      </x:c>
      <x:c r="F5" s="26" t="str">
        <x:v>≥90%</x:v>
      </x:c>
      <x:c r="G5" s="26" t="str">
        <x:v>≥90%</x:v>
      </x:c>
      <x:c r="H5" s="26" t="str">
        <x:v>review audit</x:v>
      </x:c>
      <x:c r="I5" s="26" t="str">
        <x:v>W2,W3,W4</x:v>
      </x:c>
      <x:c r="J5" s="26" t="str">
        <x:v>若重要缺漏未顯示，需 fail-safe 修改</x:v>
      </x:c>
    </x:row>
    <x:row r="6" ht="36" customHeight="1">
      <x:c r="A6" s="26" t="str">
        <x:v>source label 完整率</x:v>
      </x:c>
      <x:c r="B6" s="26" t="str">
        <x:v>Traceability</x:v>
      </x:c>
      <x:c r="C6" s="26" t="str">
        <x:v>每一條摘要資訊是否標示來源：病人、家屬、工作人員、ASR-confirmed、資料表單</x:v>
      </x:c>
      <x:c r="D6" s="26" t="str">
        <x:v>partial design</x:v>
      </x:c>
      <x:c r="E6" s="26" t="str">
        <x:v>100% synthetic summary lines</x:v>
      </x:c>
      <x:c r="F6" s="26" t="str">
        <x:v>100% approved workflow samples</x:v>
      </x:c>
      <x:c r="G6" s="26" t="str">
        <x:v>100% final audit samples</x:v>
      </x:c>
      <x:c r="H6" s="26" t="str">
        <x:v>audit log</x:v>
      </x:c>
      <x:c r="I6" s="26" t="str">
        <x:v>W3,W4,W5</x:v>
      </x:c>
      <x:c r="J6" s="26" t="str">
        <x:v>無來源的 AI 推論不得進入醫師摘要</x:v>
      </x:c>
    </x:row>
    <x:row r="7" ht="36" customHeight="1">
      <x:c r="A7" s="26" t="str">
        <x:v>unsafe wording unresolved count</x:v>
      </x:c>
      <x:c r="B7" s="26" t="str">
        <x:v>Clinical safety</x:v>
      </x:c>
      <x:c r="C7" s="26" t="str">
        <x:v>診斷、治療建議、自動分流、自動 EMR writeback 等未核准語句</x:v>
      </x:c>
      <x:c r="D7" s="26" t="str">
        <x:v>目標 0</x:v>
      </x:c>
      <x:c r="E7" s="26" t="str">
        <x:v>0 unresolved</x:v>
      </x:c>
      <x:c r="F7" s="26" t="str">
        <x:v>0 unresolved</x:v>
      </x:c>
      <x:c r="G7" s="26" t="str">
        <x:v>0 unresolved</x:v>
      </x:c>
      <x:c r="H7" s="26" t="str">
        <x:v>red-team / QA log</x:v>
      </x:c>
      <x:c r="I7" s="26" t="str">
        <x:v>W4,W5</x:v>
      </x:c>
      <x:c r="J7" s="26" t="str">
        <x:v>若出現，需阻擋發佈並修 prompt/schema</x:v>
      </x:c>
    </x:row>
    <x:row r="8" ht="36" customHeight="1">
      <x:c r="A8" s="26" t="str">
        <x:v>staff-friction pass</x:v>
      </x:c>
      <x:c r="B8" s="26" t="str">
        <x:v>Adoption risk</x:v>
      </x:c>
      <x:c r="C8" s="26" t="str">
        <x:v>護理/櫃台/醫師端不增加不可接受的重複輸入、點擊、例外處理</x:v>
      </x:c>
      <x:c r="D8" s="26" t="str">
        <x:v>待 workflow review</x:v>
      </x:c>
      <x:c r="E8" s="26" t="str">
        <x:v>完成 walkthrough + top risks</x:v>
      </x:c>
      <x:c r="F8" s="26" t="str">
        <x:v>至少一輪改版後通過</x:v>
      </x:c>
      <x:c r="G8" s="26" t="str">
        <x:v>形成維運 SOP</x:v>
      </x:c>
      <x:c r="H8" s="26" t="str">
        <x:v>workflow observation</x:v>
      </x:c>
      <x:c r="I8" s="26" t="str">
        <x:v>W2,W3,W7</x:v>
      </x:c>
      <x:c r="J8" s="26" t="str">
        <x:v>若導入成本高於節省時間，必須縮小功能</x:v>
      </x:c>
    </x:row>
    <x:row r="9" ht="36" customHeight="1">
      <x:c r="A9" s="26" t="str">
        <x:v>governance readiness</x:v>
      </x:c>
      <x:c r="B9" s="26" t="str">
        <x:v>Governance</x:v>
      </x:c>
      <x:c r="C9" s="26" t="str">
        <x:v>AI/data/security/IRB/procurement owner 是否命名，進場 route 是否完成</x:v>
      </x:c>
      <x:c r="D9" s="26" t="str">
        <x:v>owner table pending</x:v>
      </x:c>
      <x:c r="E9" s="26" t="str">
        <x:v>owner named or pending explicit</x:v>
      </x:c>
      <x:c r="F9" s="26" t="str">
        <x:v>real-data route approved or deferred</x:v>
      </x:c>
      <x:c r="G9" s="26" t="str">
        <x:v>maintenance owner named</x:v>
      </x:c>
      <x:c r="H9" s="26" t="str">
        <x:v>governance checklist</x:v>
      </x:c>
      <x:c r="I9" s="26" t="str">
        <x:v>W5,W6</x:v>
      </x:c>
      <x:c r="J9" s="26" t="str">
        <x:v>沒有 owner 不碰真實資料</x:v>
      </x:c>
    </x:row>
    <x:row r="10" ht="36" customHeight="1">
      <x:c r="A10" s="26" t="str">
        <x:v>KPI-to-budget mapping</x:v>
      </x:c>
      <x:c r="B10" s="26" t="str">
        <x:v>Budget accountability</x:v>
      </x:c>
      <x:c r="C10" s="26" t="str">
        <x:v>每一經費列是否有 KPI、owner、source、evidence</x:v>
      </x:c>
      <x:c r="D10" s="26" t="str">
        <x:v>本 workbook 建立</x:v>
      </x:c>
      <x:c r="E10" s="26" t="str">
        <x:v>100%</x:v>
      </x:c>
      <x:c r="F10" s="26" t="str">
        <x:v>100%</x:v>
      </x:c>
      <x:c r="G10" s="26" t="str">
        <x:v>100%</x:v>
      </x:c>
      <x:c r="H10" s="26" t="str">
        <x:v>budget workbook</x:v>
      </x:c>
      <x:c r="I10" s="26" t="str">
        <x:v>ALL</x:v>
      </x:c>
      <x:c r="J10" s="26" t="str">
        <x:v>任何未映射項目應刪除或改列</x:v>
      </x:c>
    </x:row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  <x:tableParts count="1">
    <x:tablePart xmlns:r="http://schemas.openxmlformats.org/officeDocument/2006/relationships" r:id="R678a1e2b25494d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4" hidden="0" customWidth="1"/>
    <x:col min="4" max="4" width="48" hidden="0" customWidth="1"/>
  </x:cols>
  <x:sheetData>
    <x:row r="1" ht="36" customHeight="1">
      <x:c r="A1" s="16" t="str">
        <x:v>成本/規範項目</x:v>
      </x:c>
      <x:c r="B1" s="16" t="str">
        <x:v>可引用事實</x:v>
      </x:c>
      <x:c r="C1" s="16" t="str">
        <x:v>本案用法</x:v>
      </x:c>
      <x:c r="D1" s="16" t="str">
        <x:v>Source_URL</x:v>
      </x:c>
    </x:row>
    <x:row r="2" ht="36" customHeight="1">
      <x:c r="A2" s="26" t="str">
        <x:v>政策範疇</x:v>
      </x:c>
      <x:c r="B2" s="26" t="str">
        <x:v>健康台灣深耕計畫有四大範疇；智慧科技醫療包含 AI 協助臨床、流程效率、醫療數據共享與安全。</x:v>
      </x:c>
      <x:c r="C2" s="26" t="str">
        <x:v>本案主打範疇三，副支援範疇一；不寫 CRM。</x:v>
      </x:c>
      <x:c r="D2" s="26" t="str">
        <x:v>https://www.ey.gov.tw/Page/5A8A0CB5B41DA11E/f1618406-1ed7-4e72-bd4f-d1b6faaf8381</x:v>
      </x:c>
    </x:row>
    <x:row r="3" ht="36" customHeight="1">
      <x:c r="A3" s="26" t="str">
        <x:v>創新 KPI</x:v>
      </x:c>
      <x:c r="B3" s="26" t="str">
        <x:v>衛福部專區說明 18項目標/KPI 供參考，鼓勵創新績效指標與具體衡量方式。</x:v>
      </x:c>
      <x:c r="C3" s="26" t="str">
        <x:v>使用 summary read time、source label、missing-field visibility 等新 KPI。</x:v>
      </x:c>
      <x:c r="D3" s="26" t="str">
        <x:v>https://dep.mohw.gov.tw/TDU/cp-1567-82709-121.html</x:v>
      </x:c>
    </x:row>
    <x:row r="4" ht="36" customHeight="1">
      <x:c r="A4" s="26" t="str">
        <x:v>經費科目與明細</x:v>
      </x:c>
      <x:c r="B4" s="26" t="str">
        <x:v>經費須依核定預算項目核實動支；經費總表需依支用標準項目名稱，詳列細目、單價、數量。</x:v>
      </x:c>
      <x:c r="C4" s="26" t="str">
        <x:v>工作包已拆成單價/數量/年度；正式表需 budget owner 轉入官方科目。</x:v>
      </x:c>
      <x:c r="D4" s="26" t="str">
        <x:v>https://htsprout.nhri.org.tw/UploadFile/0915-attach1.pdf</x:v>
      </x:c>
    </x:row>
    <x:row r="5" ht="36" customHeight="1">
      <x:c r="A5" s="26" t="str">
        <x:v>人事費</x:v>
      </x:c>
      <x:c r="B5" s="26" t="str">
        <x:v>健康台灣支用標準允許行政/研究人力、醫療專業與管理人員；薪資依申請單位標準核實支給。</x:v>
      </x:c>
      <x:c r="C5" s="26" t="str">
        <x:v>PM、RA、evaluation analyst、臨床 reviewer protected time 列人事或工作量。</x:v>
      </x:c>
      <x:c r="D5" s="26" t="str">
        <x:v>https://htsprout.nhri.org.tw/UploadFile/0415-attach1.pdf</x:v>
      </x:c>
    </x:row>
    <x:row r="6" ht="36" customHeight="1">
      <x:c r="A6" s="26" t="str">
        <x:v>研究人力薪資下限</x:v>
      </x:c>
      <x:c r="B6" s="26" t="str">
        <x:v>NSTC 專任人員月支酬金不得低於專科30,400、學士36,300、碩士以上41,500；可列最多1.5個月年終。</x:v>
      </x:c>
      <x:c r="C6" s="26" t="str">
        <x:v>45,000–85,000/人月屬可說服的台灣學研/AI人力載入估算。</x:v>
      </x:c>
      <x:c r="D6" s="26" t="str">
        <x:v>https://law.nstc.gov.tw/LawContent.aspx?id=FL028686</x:v>
      </x:c>
    </x:row>
    <x:row r="7" ht="36" customHeight="1">
      <x:c r="A7" s="26" t="str">
        <x:v>最低工資</x:v>
      </x:c>
      <x:c r="B7" s="26" t="str">
        <x:v>115年1月1日起月最低工資29,500、時薪196。</x:v>
      </x:c>
      <x:c r="C7" s="26" t="str">
        <x:v>臨時人員、問卷、流程測試不得低於基本工資與勞動條件。</x:v>
      </x:c>
      <x:c r="D7" s="26" t="str">
        <x:v>https://www.mol.gov.tw/1607/28162/28166/28180/70460/76761/76833/post</x:v>
      </x:c>
    </x:row>
    <x:row r="8" ht="36" customHeight="1">
      <x:c r="A8" s="26" t="str">
        <x:v>出席/審查費</x:v>
      </x:c>
      <x:c r="B8" s="26" t="str">
        <x:v>中央政府出席費每次會議上限2,500；計畫項下相關人員不得重複支領審查/出席。</x:v>
      </x:c>
      <x:c r="C8" s="26" t="str">
        <x:v>外部專家用2,500/meeting；院內 reviewer 以人事/職掌列支。</x:v>
      </x:c>
      <x:c r="D8" s="26" t="str">
        <x:v>https://www.dbas.taichung.gov.tw/media/900350/%E4%B8%9918%E4%B8%AD%E5%A4%AE%E6%94%BF%E5%BA%9C%E5%90%84%E6%A9%9F%E9%97%9C%E5%AD%B8%E6%A0%A1%E5%87%BA%E5%B8%AD%E8%B2%BB%E5%8F%8A%E7%A8%BF%E8%B2%BB%E6%94%AF%E7%B5%A6%E8%A6%81%E9%BB%9E-1111220%E4%BF%AE%E6%AD%A3-%E5%90%AB%E9%99%84%E4%BB%B6.pdf</x:v>
      </x:c>
    </x:row>
    <x:row r="9" ht="36" customHeight="1">
      <x:c r="A9" s="26" t="str">
        <x:v>問卷/訪視費</x:v>
      </x:c>
      <x:c r="B9" s="26" t="str">
        <x:v>問卷調查或訪視費每份50–300元。</x:v>
      </x:c>
      <x:c r="C9" s="26" t="str">
        <x:v>本案 clinician/staff survey 以200元/份估算。</x:v>
      </x:c>
      <x:c r="D9" s="26" t="str">
        <x:v>https://htsprout.nhri.org.tw/UploadFile/0415-attach1.pdf</x:v>
      </x:c>
    </x:row>
    <x:row r="10" ht="36" customHeight="1">
      <x:c r="A10" s="26" t="str">
        <x:v>IRB審查費</x:v>
      </x:c>
      <x:c r="B10" s="26" t="str">
        <x:v>每一人體試驗案以100,000元為限，依醫院所需費用核實報支。</x:v>
      </x:c>
      <x:c r="C10" s="26" t="str">
        <x:v>若涉及真實資料或人體試驗，保留100,000/年；未啟動則轉 evaluation/QI。</x:v>
      </x:c>
      <x:c r="D10" s="26" t="str">
        <x:v>https://htsprout.nhri.org.tw/UploadFile/0415-attach1.pdf</x:v>
      </x:c>
    </x:row>
    <x:row r="11" ht="36" customHeight="1">
      <x:c r="A11" s="26" t="str">
        <x:v>資訊軟硬體租金</x:v>
      </x:c>
      <x:c r="B11" s="26" t="str">
        <x:v>可租用資訊軟硬體；軟硬體包含主機、周邊、作業系統、資料庫、套裝軟體等。</x:v>
      </x:c>
      <x:c r="C11" s="26" t="str">
        <x:v>LLM/API/cloud/ASR 優先列租金/權利使用費，避免大量資本門。</x:v>
      </x:c>
      <x:c r="D11" s="26" t="str">
        <x:v>https://htsprout.nhri.org.tw/UploadFile/0415-attach1.pdf</x:v>
      </x:c>
    </x:row>
    <x:row r="12" ht="36" customHeight="1">
      <x:c r="A12" s="26" t="str">
        <x:v>設備費與資本門</x:v>
      </x:c>
      <x:c r="B12" s="26" t="str">
        <x:v>設備須單價10,000元以上且使用年限2年以上；資本門以30%為上限。</x:v>
      </x:c>
      <x:c r="C12" s="26" t="str">
        <x:v>本案設備費規劃 230,000，占總額2.3%，遠低於30%。</x:v>
      </x:c>
      <x:c r="D12" s="26" t="str">
        <x:v>https://htsprout.nhri.org.tw/UploadFile/0415-attach1.pdf</x:v>
      </x:c>
    </x:row>
    <x:row r="13" ht="36" customHeight="1">
      <x:c r="A13" s="26" t="str">
        <x:v>治理檢核表</x:v>
      </x:c>
      <x:c r="B13" s="26" t="str">
        <x:v>官方下載區提供 AI治理、資安治理、資料治理自我檢核表。</x:v>
      </x:c>
      <x:c r="C13" s="26" t="str">
        <x:v>W5 設 AI/data/security governance deliverables，作為進場 gate。</x:v>
      </x:c>
      <x:c r="D13" s="26" t="str">
        <x:v>https://htsprout.nhri.org.tw/download.html</x:v>
      </x:c>
    </x:row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55" hidden="0" customWidth="1"/>
    <x:col min="4" max="4" width="34" hidden="0" customWidth="1"/>
    <x:col min="5" max="5" width="42" hidden="0" customWidth="1"/>
    <x:col min="6" max="6" width="18" hidden="0" customWidth="1"/>
  </x:cols>
  <x:sheetData>
    <x:row r="1" ht="36" customHeight="1">
      <x:c r="A1" s="16" t="str">
        <x:v>年度</x:v>
      </x:c>
      <x:c r="B1" s="16" t="str">
        <x:v>查核點</x:v>
      </x:c>
      <x:c r="C1" s="16" t="str">
        <x:v>應交付證據</x:v>
      </x:c>
      <x:c r="D1" s="16" t="str">
        <x:v>KPI</x:v>
      </x:c>
      <x:c r="E1" s="16" t="str">
        <x:v>Go/No-Go 門檻</x:v>
      </x:c>
      <x:c r="F1" s="16" t="str">
        <x:v>預算連動</x:v>
      </x:c>
    </x:row>
    <x:row r="2" ht="36" customHeight="1">
      <x:c r="A2" s="26" t="str">
        <x:v>Y1</x:v>
      </x:c>
      <x:c r="B2" s="26" t="str">
        <x:v>Intended use / clinical boundary 鎖定</x:v>
      </x:c>
      <x:c r="C2" s="26" t="str">
        <x:v>intended-use 文件、禁止語句清單、CRM out-of-scope 註記</x:v>
      </x:c>
      <x:c r="D2" s="26" t="str">
        <x:v>unsafe wording =0、owner table explicit</x:v>
      </x:c>
      <x:c r="E2" s="26" t="str">
        <x:v>未完成不得做真實資料測試</x:v>
      </x:c>
      <x:c r="F2" s="26" t="str">
        <x:v>W1,W5</x:v>
      </x:c>
    </x:row>
    <x:row r="3" ht="36" customHeight="1">
      <x:c r="A3" s="26" t="str">
        <x:v>Y1</x:v>
      </x:c>
      <x:c r="B3" s="26" t="str">
        <x:v>Question set + summary schema v1</x:v>
      </x:c>
      <x:c r="C3" s="26" t="str">
        <x:v>問題集、schema、source label、missing-field 規則</x:v>
      </x:c>
      <x:c r="D3" s="26" t="str">
        <x:v>source label 100%、missing-field ≥90%</x:v>
      </x:c>
      <x:c r="E3" s="26" t="str">
        <x:v>未達標則不進 reviewer demo</x:v>
      </x:c>
      <x:c r="F3" s="26" t="str">
        <x:v>W3,W4</x:v>
      </x:c>
    </x:row>
    <x:row r="4" ht="36" customHeight="1">
      <x:c r="A4" s="26" t="str">
        <x:v>Y1</x:v>
      </x:c>
      <x:c r="B4" s="26" t="str">
        <x:v>Synthetic reviewer evidence</x:v>
      </x:c>
      <x:c r="C4" s="26" t="str">
        <x:v>3–5個 synthetic cases、timed review、scorecard</x:v>
      </x:c>
      <x:c r="D4" s="26" t="str">
        <x:v>read time ≤60 sec target、usefulness ≥4/5 target</x:v>
      </x:c>
      <x:c r="E4" s="26" t="str">
        <x:v>低於目標則修 schema</x:v>
      </x:c>
      <x:c r="F4" s="26" t="str">
        <x:v>W2,W4,W6</x:v>
      </x:c>
    </x:row>
    <x:row r="5" ht="36" customHeight="1">
      <x:c r="A5" s="26" t="str">
        <x:v>Y2</x:v>
      </x:c>
      <x:c r="B5" s="26" t="str">
        <x:v>Governance-approved limited workflow evidence</x:v>
      </x:c>
      <x:c r="C5" s="26" t="str">
        <x:v>QI/IRB 判定、流程紀錄、臨床 reviewer feedback</x:v>
      </x:c>
      <x:c r="D5" s="26" t="str">
        <x:v>completion ≥90%、staff-friction pass</x:v>
      </x:c>
      <x:c r="E5" s="26" t="str">
        <x:v>若 governance 未核准，改留 synthetic + workflow simulation</x:v>
      </x:c>
      <x:c r="F5" s="26" t="str">
        <x:v>W2,W5,W6,W7</x:v>
      </x:c>
    </x:row>
    <x:row r="6" ht="36" customHeight="1">
      <x:c r="A6" s="26" t="str">
        <x:v>Y2</x:v>
      </x:c>
      <x:c r="B6" s="26" t="str">
        <x:v>模型/摘要安全與 audit</x:v>
      </x:c>
      <x:c r="C6" s="26" t="str">
        <x:v>版本紀錄、audit samples、red-team log</x:v>
      </x:c>
      <x:c r="D6" s="26" t="str">
        <x:v>unsafe wording 0、source label 100%</x:v>
      </x:c>
      <x:c r="E6" s="26" t="str">
        <x:v>出現未解決安全語句即 freeze release</x:v>
      </x:c>
      <x:c r="F6" s="26" t="str">
        <x:v>W4,W5</x:v>
      </x:c>
    </x:row>
    <x:row r="7" ht="36" customHeight="1">
      <x:c r="A7" s="26" t="str">
        <x:v>Y3</x:v>
      </x:c>
      <x:c r="B7" s="26" t="str">
        <x:v>Final evidence package</x:v>
      </x:c>
      <x:c r="C7" s="26" t="str">
        <x:v>年度 KPI 報告、失敗案例與修正紀錄、維運 owner</x:v>
      </x:c>
      <x:c r="D7" s="26" t="str">
        <x:v>KPI-to-budget 100%、maintenance owner named</x:v>
      </x:c>
      <x:c r="E7" s="26" t="str">
        <x:v>無 owner 則不得承諾長期服務</x:v>
      </x:c>
      <x:c r="F7" s="26" t="str">
        <x:v>W1,W5,W6</x:v>
      </x:c>
    </x:row>
    <x:row r="8" ht="36" customHeight="1">
      <x:c r="A8" s="26" t="str">
        <x:v>Y3</x:v>
      </x:c>
      <x:c r="B8" s="26" t="str">
        <x:v>Next-stage governance brief</x:v>
      </x:c>
      <x:c r="C8" s="26" t="str">
        <x:v>是否進 HIS/EMR/API/正式採購的條件列表</x:v>
      </x:c>
      <x:c r="D8" s="26" t="str">
        <x:v>governance readiness</x:v>
      </x:c>
      <x:c r="E8" s="26" t="str">
        <x:v>不得把本案自動變成 production EMR writeback</x:v>
      </x:c>
      <x:c r="F8" s="26" t="str">
        <x:v>W5,W7</x:v>
      </x:c>
    </x:row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4" hidden="0" customWidth="1"/>
    <x:col min="3" max="3" width="36" hidden="0" customWidth="1"/>
  </x:cols>
  <x:sheetData>
    <x:row r="1" ht="36" customHeight="1">
      <x:c r="A1" s="16" t="str">
        <x:v>評審可能質疑</x:v>
      </x:c>
      <x:c r="B1" s="16" t="str">
        <x:v>建議回答</x:v>
      </x:c>
      <x:c r="C1" s="16" t="str">
        <x:v>可展示證據</x:v>
      </x:c>
    </x:row>
    <x:row r="2" ht="36" customHeight="1">
      <x:c r="A2" s="26" t="str">
        <x:v>為什麼需要 1,000 萬？</x:v>
      </x:c>
      <x:c r="B2" s="26" t="str">
        <x:v>這不是單一 chatbot，而是三年治理型門診前資訊流程：臨床問題治理、source label、missing-field、AI摘要、reviewer evidence、資安/資料治理、QI/IRB、年度管考與交接。每一列都有單價/數量/KPI，不是黑箱軟體費。</x:v>
      </x:c>
      <x:c r="C2" s="26" t="str">
        <x:v>經費明細、KPI矩陣、成本依據</x:v>
      </x:c>
    </x:row>
    <x:row r="3" ht="36" customHeight="1">
      <x:c r="A3" s="26" t="str">
        <x:v>是否會變成 AI 診斷？</x:v>
      </x:c>
      <x:c r="B3" s="26" t="str">
        <x:v>不會。AI 只做結構化、缺漏提示與摘要草擬；醫師保留判讀、診斷、處置。unsafe wording KPI 要求未核准診斷/治療/分流語句為 0。</x:v>
      </x:c>
      <x:c r="C3" s="26" t="str">
        <x:v>禁止語句清單、red-team log</x:v>
      </x:c>
    </x:row>
    <x:row r="4" ht="36" customHeight="1">
      <x:c r="A4" s="26" t="str">
        <x:v>CRM 為何不列？</x:v>
      </x:c>
      <x:c r="B4" s="26" t="str">
        <x:v>因 package 已界定 CRM 由其他團隊負責；本案只處理門診前 visit readiness 與醫師覆核摘要。把 CRM 放入會稀釋 scope、增加採購與資安風險。</x:v>
      </x:c>
      <x:c r="C4" s="26" t="str">
        <x:v>out-of-scope list</x:v>
      </x:c>
    </x:row>
    <x:row r="5" ht="36" customHeight="1">
      <x:c r="A5" s="26" t="str">
        <x:v>KPI 是否過度保守？</x:v>
      </x:c>
      <x:c r="B5" s="26" t="str">
        <x:v>不是保守，而是可驗收。先用 workflow/safety/traceability KPI 建立可信度；若 Y2 governance 核准，再做 limited workflow evidence。這比空泛宣稱臨床結果更能通過查核。</x:v>
      </x:c>
      <x:c r="C5" s="26" t="str">
        <x:v>年度查核點、scorecard</x:v>
      </x:c>
    </x:row>
    <x:row r="6" ht="36" customHeight="1">
      <x:c r="A6" s="26" t="str">
        <x:v>摘要閱讀時間 ≤60 秒是否合理？</x:v>
      </x:c>
      <x:c r="B6" s="26" t="str">
        <x:v>作為設計目標合理；正式報告同時回報 actual。若超過 90 秒，必須縮短摘要或調整欄位。</x:v>
      </x:c>
      <x:c r="C6" s="26" t="str">
        <x:v>timed reviewer logs</x:v>
      </x:c>
    </x:row>
    <x:row r="7" ht="36" customHeight="1">
      <x:c r="A7" s="26" t="str">
        <x:v>ASR/APP/API 要不要寫？</x:v>
      </x:c>
      <x:c r="B7" s="26" t="str">
        <x:v>可以寫成 optional readiness，不可寫成核心成功條件。未確認 transcript 不進摘要；HIS/EMR writeback 不在本期承諾。</x:v>
      </x:c>
      <x:c r="C7" s="26" t="str">
        <x:v>W7、資料治理 gate</x:v>
      </x:c>
    </x:row>
    <x:row r="8" ht="36" customHeight="1"/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8" hidden="0" customWidth="1"/>
    <x:col min="3" max="3" width="54" hidden="0" customWidth="1"/>
  </x:cols>
  <x:sheetData>
    <x:row r="1" ht="36" customHeight="1">
      <x:c r="A1" s="16" t="str">
        <x:v>不列入項目</x:v>
      </x:c>
      <x:c r="B1" s="16" t="str">
        <x:v>理由</x:v>
      </x:c>
      <x:c r="C1" s="16" t="str">
        <x:v>若評審追問時的說法</x:v>
      </x:c>
    </x:row>
    <x:row r="2" ht="36" customHeight="1">
      <x:c r="A2" s="26" t="str">
        <x:v>CRM / CRM-ready handoff / patient messaging</x:v>
      </x:c>
      <x:c r="B2" s="26" t="str">
        <x:v>package 明確排除；會牽涉病人關係管理、追蹤、推播與另一套治理/採購。</x:v>
      </x:c>
      <x:c r="C2" s="26" t="str">
        <x:v>本案只處理門診前問診資料整理與醫師覆核摘要。</x:v>
      </x:c>
    </x:row>
    <x:row r="3" ht="36" customHeight="1">
      <x:c r="A3" s="26" t="str">
        <x:v>HIS/EMR writeback / production integration</x:v>
      </x:c>
      <x:c r="B3" s="26" t="str">
        <x:v>未完成院內資安、資料治理、IRB/QI、採購前，不可承諾自動寫回。</x:v>
      </x:c>
      <x:c r="C3" s="26" t="str">
        <x:v>可保留 API readiness，但正式串接另案。</x:v>
      </x:c>
    </x:row>
    <x:row r="4" ht="36" customHeight="1">
      <x:c r="A4" s="26" t="str">
        <x:v>AI diagnosis / treatment / triage</x:v>
      </x:c>
      <x:c r="B4" s="26" t="str">
        <x:v>醫療判讀責任在醫師；此類 claim 會引發高風險審查。</x:v>
      </x:c>
      <x:c r="C4" s="26" t="str">
        <x:v>AI 僅支援資料整理與缺漏提示。</x:v>
      </x:c>
    </x:row>
    <x:row r="5" ht="36" customHeight="1">
      <x:c r="A5" s="26" t="str">
        <x:v>慢性病、癌症死亡率、長期預後成效</x:v>
      </x:c>
      <x:c r="B5" s="26" t="str">
        <x:v>本案三年、門診前摘要流程不足以直接歸因到硬臨床終點。</x:v>
      </x:c>
      <x:c r="C5" s="26" t="str">
        <x:v>本期用 workflow、安全、可用性、完整性 KPI；臨床結果可作後續研究。</x:v>
      </x:c>
    </x:row>
    <x:row r="6" ht="36" customHeight="1">
      <x:c r="A6" s="26" t="str">
        <x:v>國外旅費</x:v>
      </x:c>
      <x:c r="B6" s="26" t="str">
        <x:v>本子計畫非範疇二人才培育核心；健康台灣對國外旅費有範疇限制。</x:v>
      </x:c>
      <x:c r="C6" s="26" t="str">
        <x:v>若母計畫另列範疇二，再由 training owner 編列。</x:v>
      </x:c>
    </x:row>
    <x:row r="7" ht="36" customHeight="1">
      <x:c r="A7" s="26" t="str">
        <x:v>個人手機、個人平板、日常行政設備</x:v>
      </x:c>
      <x:c r="B7" s="26" t="str">
        <x:v>負面表列與設備費規範風險高。</x:v>
      </x:c>
      <x:c r="C7" s="26" t="str">
        <x:v>若需裝置，採診間/櫃台共用 intake station 或租用服務並經資安/採購核准。</x:v>
      </x:c>
    </x:row>
    <x:row r="8" ht="36" customHeight="1"/>
    <x:row r="9" ht="36" customHeight="1"/>
    <x:row r="10" ht="36" customHeight="1"/>
    <x:row r="11" ht="36" customHeight="1"/>
    <x:row r="12" ht="36" customHeight="1"/>
    <x:row r="13" ht="36" customHeight="1"/>
    <x:row r="14" ht="36" customHeight="1"/>
    <x:row r="15" ht="36" customHeight="1"/>
    <x:row r="16" ht="36" customHeight="1"/>
    <x:row r="17" ht="36" customHeight="1"/>
    <x:row r="18" ht="36" customHeight="1"/>
    <x:row r="19" ht="36" customHeight="1"/>
    <x:row r="20" ht="36" customHeight="1"/>
    <x:row r="21" ht="36" customHeight="1"/>
    <x:row r="22" ht="36" customHeight="1"/>
    <x:row r="23" ht="36" customHeight="1"/>
    <x:row r="24" ht="36" customHeight="1"/>
    <x:row r="25" ht="36" customHeight="1"/>
    <x:row r="26" ht="36" customHeight="1"/>
    <x:row r="27" ht="36" customHeight="1"/>
    <x:row r="28" ht="36" customHeight="1"/>
    <x:row r="29" ht="36" customHeight="1"/>
    <x:row r="30" ht="36" customHeight="1"/>
    <x:row r="31" ht="36" customHeight="1"/>
    <x:row r="32" ht="36" customHeight="1"/>
    <x:row r="33" ht="36" customHeight="1"/>
    <x:row r="34" ht="36" customHeight="1"/>
    <x:row r="35" ht="36" customHeight="1"/>
    <x:row r="36" ht="36" customHeight="1"/>
    <x:row r="37" ht="36" customHeight="1"/>
    <x:row r="38" ht="36" customHeight="1"/>
    <x:row r="39" ht="36" customHeight="1"/>
    <x:row r="40" ht="36" customHeight="1"/>
    <x:row r="41" ht="36" customHeight="1"/>
    <x:row r="42" ht="36" customHeight="1"/>
    <x:row r="43" ht="36" customHeight="1"/>
    <x:row r="44" ht="36" customHeight="1"/>
    <x:row r="45" ht="36" customHeight="1"/>
    <x:row r="46" ht="36" customHeight="1"/>
    <x:row r="47" ht="36" customHeight="1"/>
    <x:row r="48" ht="36" customHeight="1"/>
    <x:row r="49" ht="36" customHeight="1"/>
    <x:row r="50" ht="36" customHeight="1"/>
    <x:row r="51" ht="36" customHeight="1"/>
    <x:row r="52" ht="36" customHeight="1"/>
    <x:row r="53" ht="36" customHeight="1"/>
    <x:row r="54" ht="36" customHeight="1"/>
    <x:row r="55" ht="36" customHeight="1"/>
    <x:row r="56" ht="36" customHeight="1"/>
    <x:row r="57" ht="36" customHeight="1"/>
    <x:row r="58" ht="36" customHeight="1"/>
    <x:row r="59" ht="36" customHeight="1"/>
    <x:row r="60" ht="36" customHeight="1"/>
    <x:row r="61" ht="36" customHeight="1"/>
    <x:row r="62" ht="36" customHeight="1"/>
    <x:row r="63" ht="36" customHeight="1"/>
    <x:row r="64" ht="36" customHeight="1"/>
    <x:row r="65" ht="36" customHeight="1"/>
    <x:row r="66" ht="36" customHeight="1"/>
    <x:row r="67" ht="36" customHeight="1"/>
    <x:row r="68" ht="36" customHeight="1"/>
    <x:row r="69" ht="36" customHeight="1"/>
    <x:row r="70" ht="36" customHeight="1"/>
    <x:row r="71" ht="36" customHeight="1"/>
    <x:row r="72" ht="36" customHeight="1"/>
    <x:row r="73" ht="36" customHeight="1"/>
    <x:row r="74" ht="36" customHeight="1"/>
    <x:row r="75" ht="36" customHeight="1"/>
    <x:row r="76" ht="36" customHeight="1"/>
    <x:row r="77" ht="36" customHeight="1"/>
    <x:row r="78" ht="36" customHeight="1"/>
    <x:row r="79" ht="36" customHeight="1"/>
    <x:row r="80" ht="36" customHeight="1"/>
    <x:row r="81" ht="36" customHeight="1"/>
    <x:row r="82" ht="36" customHeight="1"/>
    <x:row r="83" ht="36" customHeight="1"/>
    <x:row r="84" ht="36" customHeight="1"/>
    <x:row r="85" ht="36" customHeight="1"/>
    <x:row r="86" ht="36" customHeight="1"/>
    <x:row r="87" ht="36" customHeight="1"/>
    <x:row r="88" ht="36" customHeight="1"/>
    <x:row r="89" ht="36" customHeight="1"/>
    <x:row r="90" ht="36" customHeight="1"/>
    <x:row r="91" ht="36" customHeight="1"/>
    <x:row r="92" ht="36" customHeight="1"/>
    <x:row r="93" ht="36" customHeight="1"/>
    <x:row r="94" ht="36" customHeight="1"/>
    <x:row r="95" ht="36" customHeight="1"/>
    <x:row r="96" ht="36" customHeight="1"/>
    <x:row r="97" ht="36" customHeight="1"/>
    <x:row r="98" ht="36" customHeight="1"/>
    <x:row r="99" ht="36" customHeight="1"/>
    <x:row r="100" ht="36" customHeight="1"/>
    <x:row r="101" ht="36" customHeight="1"/>
    <x:row r="102" ht="36" customHeight="1"/>
    <x:row r="103" ht="36" customHeight="1"/>
    <x:row r="104" ht="36" customHeight="1"/>
    <x:row r="105" ht="36" customHeight="1"/>
    <x:row r="106" ht="36" customHeight="1"/>
    <x:row r="107" ht="36" customHeight="1"/>
    <x:row r="108" ht="36" customHeight="1"/>
    <x:row r="109" ht="36" customHeight="1"/>
    <x:row r="110" ht="36" customHeight="1"/>
    <x:row r="111" ht="36" customHeight="1"/>
    <x:row r="112" ht="36" customHeight="1"/>
    <x:row r="113" ht="36" customHeight="1"/>
    <x:row r="114" ht="36" customHeight="1"/>
    <x:row r="115" ht="36" customHeight="1"/>
    <x:row r="116" ht="36" customHeight="1"/>
    <x:row r="117" ht="36" customHeight="1"/>
    <x:row r="118" ht="36" customHeight="1"/>
    <x:row r="119" ht="36" customHeight="1"/>
    <x:row r="120" ht="36" customHeight="1"/>
    <x:row r="121" ht="36" customHeight="1"/>
    <x:row r="122" ht="36" customHeight="1"/>
    <x:row r="123" ht="36" customHeight="1"/>
    <x:row r="124" ht="36" customHeight="1"/>
    <x:row r="125" ht="36" customHeight="1"/>
    <x:row r="126" ht="36" customHeight="1"/>
    <x:row r="127" ht="36" customHeight="1"/>
    <x:row r="128" ht="36" customHeight="1"/>
    <x:row r="129" ht="36" customHeight="1"/>
    <x:row r="130" ht="36" customHeight="1"/>
    <x:row r="131" ht="36" customHeight="1"/>
    <x:row r="132" ht="36" customHeight="1"/>
    <x:row r="133" ht="36" customHeight="1"/>
    <x:row r="134" ht="36" customHeight="1"/>
    <x:row r="135" ht="36" customHeight="1"/>
    <x:row r="136" ht="36" customHeight="1"/>
    <x:row r="137" ht="36" customHeight="1"/>
    <x:row r="138" ht="36" customHeight="1"/>
    <x:row r="139" ht="36" customHeight="1"/>
    <x:row r="140" ht="36" customHeight="1"/>
    <x:row r="141" ht="36" customHeight="1"/>
    <x:row r="142" ht="36" customHeight="1"/>
    <x:row r="143" ht="36" customHeight="1"/>
    <x:row r="144" ht="36" customHeight="1"/>
    <x:row r="145" ht="36" customHeight="1"/>
    <x:row r="146" ht="36" customHeight="1"/>
    <x:row r="147" ht="36" customHeight="1"/>
    <x:row r="148" ht="36" customHeight="1"/>
    <x:row r="149" ht="36" customHeight="1"/>
    <x:row r="150" ht="36" customHeight="1"/>
    <x:row r="151" ht="36" customHeight="1"/>
    <x:row r="152" ht="36" customHeight="1"/>
    <x:row r="153" ht="36" customHeight="1"/>
    <x:row r="154" ht="36" customHeight="1"/>
    <x:row r="155" ht="36" customHeight="1"/>
    <x:row r="156" ht="36" customHeight="1"/>
    <x:row r="157" ht="36" customHeight="1"/>
    <x:row r="158" ht="36" customHeight="1"/>
    <x:row r="159" ht="36" customHeight="1"/>
    <x:row r="160" ht="36" customHeight="1"/>
    <x:row r="161" ht="36" customHeight="1"/>
    <x:row r="162" ht="36" customHeight="1"/>
    <x:row r="163" ht="36" customHeight="1"/>
    <x:row r="164" ht="36" customHeight="1"/>
    <x:row r="165" ht="36" customHeight="1"/>
    <x:row r="166" ht="36" customHeight="1"/>
    <x:row r="167" ht="36" customHeight="1"/>
    <x:row r="168" ht="36" customHeight="1"/>
    <x:row r="169" ht="36" customHeight="1"/>
    <x:row r="170" ht="36" customHeight="1"/>
    <x:row r="171" ht="36" customHeight="1"/>
    <x:row r="172" ht="36" customHeight="1"/>
    <x:row r="173" ht="36" customHeight="1"/>
    <x:row r="174" ht="36" customHeight="1"/>
    <x:row r="175" ht="36" customHeight="1"/>
    <x:row r="176" ht="36" customHeight="1"/>
    <x:row r="177" ht="36" customHeight="1"/>
    <x:row r="178" ht="36" customHeight="1"/>
    <x:row r="179" ht="36" customHeight="1"/>
    <x:row r="180" ht="36" customHeight="1"/>
    <x:row r="181" ht="36" customHeight="1"/>
    <x:row r="182" ht="36" customHeight="1"/>
    <x:row r="183" ht="36" customHeight="1"/>
    <x:row r="184" ht="36" customHeight="1"/>
    <x:row r="185" ht="36" customHeight="1"/>
    <x:row r="186" ht="36" customHeight="1"/>
    <x:row r="187" ht="36" customHeight="1"/>
    <x:row r="188" ht="36" customHeight="1"/>
    <x:row r="189" ht="36" customHeight="1"/>
    <x:row r="190" ht="36" customHeight="1"/>
    <x:row r="191" ht="36" customHeight="1"/>
    <x:row r="192" ht="36" customHeight="1"/>
    <x:row r="193" ht="36" customHeight="1"/>
    <x:row r="194" ht="36" customHeight="1"/>
    <x:row r="195" ht="36" customHeight="1"/>
    <x:row r="196" ht="36" customHeight="1"/>
    <x:row r="197" ht="36" customHeight="1"/>
    <x:row r="198" ht="36" customHeight="1"/>
    <x:row r="199" ht="36" customHeight="1"/>
    <x:row r="200" ht="36" customHeight="1"/>
  </x:sheetData>
  <x:pageMargins left="0.7" right="0.7" top="0.75" bottom="0.75" header="0.3" footer="0.3"/>
</x:worksheet>
</file>